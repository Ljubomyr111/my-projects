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Як користуватись" sheetId="1" state="visible" r:id="rId3"/>
    <sheet name="1. Рецептура" sheetId="2" state="visible" r:id="rId4"/>
    <sheet name="2. Собівартість" sheetId="3" state="visible" r:id="rId5"/>
    <sheet name="3. Постачальники" sheetId="4" state="visible" r:id="rId6"/>
    <sheet name="4. Обладнання" sheetId="5" state="visible" r:id="rId7"/>
    <sheet name="5. P&amp;L 5000 л" sheetId="6" state="visible" r:id="rId8"/>
    <sheet name="6. Чекліст запуску" sheetId="7" state="visible" r:id="rId9"/>
    <sheet name="7. Квас з кофеїном 20 л" sheetId="8" state="visible" r:id="rId10"/>
    <sheet name="8. Закупівля і посилання" sheetId="9" state="visible" r:id="rId11"/>
    <sheet name="9. Скло чи ПЕТ банка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<sst xmlns="http://schemas.openxmlformats.org/spreadsheetml/2006/main" count="1384" uniqueCount="1044">
  <si>
    <t xml:space="preserve">Що це за файл</t>
  </si>
  <si>
    <t xml:space="preserve">Пояснення</t>
  </si>
  <si>
    <t xml:space="preserve">Призначення</t>
  </si>
  <si>
    <t xml:space="preserve">Робоча модель запуску виробництва класичного енергетичного напою в Україні на 5 000 л/міс (≈15 151 банка 0,33 л).</t>
  </si>
  <si>
    <t xml:space="preserve">Жовті комірки</t>
  </si>
  <si>
    <t xml:space="preserve">Це ваші вхідні дані: ціни сировини, вартість тари, ціна розливу, відпускна ціна. Міняйте їх під свої пропозиції від постачальників.</t>
  </si>
  <si>
    <t xml:space="preserve">Зелені комірки</t>
  </si>
  <si>
    <t xml:space="preserve">Результат розрахунку за формулами — чіпати не треба.</t>
  </si>
  <si>
    <t xml:space="preserve">Лист «Рецептура»</t>
  </si>
  <si>
    <t xml:space="preserve">Склад напою на 1 000 л з дозами і вартістю кожного інгредієнта.</t>
  </si>
  <si>
    <t xml:space="preserve">Лист «Собівартість»</t>
  </si>
  <si>
    <t xml:space="preserve">Повна собівартість 1 літра та 1 банки 0,33 л: сировина + тара + розлив + етикетка + втрати.</t>
  </si>
  <si>
    <t xml:space="preserve">Лист «Постачальники»</t>
  </si>
  <si>
    <t xml:space="preserve">Перелік реальних компаній з контактами, цінами й мінімальними партіями.</t>
  </si>
  <si>
    <t xml:space="preserve">Лист «Обладнання»</t>
  </si>
  <si>
    <t xml:space="preserve">Комплект обладнання для міні-цеху і бюджет запуску в трьох варіантах.</t>
  </si>
  <si>
    <t xml:space="preserve">Лист «P&amp;L 5000 л»</t>
  </si>
  <si>
    <t xml:space="preserve">Місячна економіка: виручка, змінні витрати, постійні, прибуток, точка беззбитковості.</t>
  </si>
  <si>
    <t xml:space="preserve">Лист «Чекліст»</t>
  </si>
  <si>
    <t xml:space="preserve">Покроковий план запуску з регуляторних питань.</t>
  </si>
  <si>
    <t xml:space="preserve">Курс валют</t>
  </si>
  <si>
    <t xml:space="preserve">Використано офіційний курс НБУ: 1 USD = 44,86 грн, 1 EUR = 50,93 грн (вересень 2026).</t>
  </si>
  <si>
    <t xml:space="preserve">Головне попередження</t>
  </si>
  <si>
    <t xml:space="preserve">Ціни на харчові інгредієнти в Україні не публікуються стабільно: більшість постачальників дають ціну лише за запитом. Усі цифри тут — робочі орієнтири станом на вересень 2026 р., їх треба підтвердити комерційною пропозицією.</t>
  </si>
  <si>
    <t xml:space="preserve">РЕЦЕПТУРА КЛАСИЧНОГО ЕНЕРГЕТИКА НА 1 000 Л ГОТОВОГО НАПОЮ</t>
  </si>
  <si>
    <t xml:space="preserve">Дози активних речовин відповідають рівню провідних брендів категорії: кофеїн 320 мг/л, таурин 4 г/л, цукор 105 г/л. Жовті клітинки «Ціна, грн/кг» — ваші дані від постачальника.</t>
  </si>
  <si>
    <t xml:space="preserve">Компонент</t>
  </si>
  <si>
    <t xml:space="preserve">Фасування / форма</t>
  </si>
  <si>
    <t xml:space="preserve">Доза на 1000 л</t>
  </si>
  <si>
    <t xml:space="preserve">Од.</t>
  </si>
  <si>
    <t xml:space="preserve">Ціна, грн/од. (ввід)</t>
  </si>
  <si>
    <t xml:space="preserve">Вартість на 1000 л, грн</t>
  </si>
  <si>
    <t xml:space="preserve">Вартість на 1 л, грн</t>
  </si>
  <si>
    <t xml:space="preserve">Примітка</t>
  </si>
  <si>
    <t xml:space="preserve">СИРОВИНА ОСНОВИ</t>
  </si>
  <si>
    <t xml:space="preserve">Цукор білий кристалічний</t>
  </si>
  <si>
    <t xml:space="preserve">мішок 50 кг</t>
  </si>
  <si>
    <t xml:space="preserve">кг</t>
  </si>
  <si>
    <t xml:space="preserve">Ринковий орієнтир ≈31 грн/кг. Можна замінити частину на ГФС (від 39 грн/кг)</t>
  </si>
  <si>
    <t xml:space="preserve">СИРОВИНА АКТИВНА (те, що робить напій енергетиком)</t>
  </si>
  <si>
    <t xml:space="preserve">Кофеїн безводний (харчовий)</t>
  </si>
  <si>
    <t xml:space="preserve">1 кг (Хімсейл) / 25 кг</t>
  </si>
  <si>
    <t xml:space="preserve">Хімсейл, Київ — 1 090 грн/кг у наявності, є специфікація 99,8 %. Не є прекурсором</t>
  </si>
  <si>
    <t xml:space="preserve">Таурин</t>
  </si>
  <si>
    <t xml:space="preserve">1 кг / 25 кг</t>
  </si>
  <si>
    <t xml:space="preserve">УВАГА: світова ціна таурину за 2024–2025 зросла з $2 до $10/кг (spot). 395 грн/кг — це старі залишки. Фіксуйте ціну контрактом</t>
  </si>
  <si>
    <t xml:space="preserve">D-глюкуронолактон (опційно)</t>
  </si>
  <si>
    <t xml:space="preserve">імпорт, від 25 кг</t>
  </si>
  <si>
    <t xml:space="preserve">В Україні лише реактивна кваліфікація — харчову треба везти з Китаю. У більшості українських брендів його немає. Доза 0 = виключено; поставте 2,4 кг, щоб побачити повний класичний склад (+7 грн/л)</t>
  </si>
  <si>
    <t xml:space="preserve">Інозитол</t>
  </si>
  <si>
    <t xml:space="preserve">ТОВ «Юнатіс» (Буча), ціна за запитом. Маркетинговий рядок у складі</t>
  </si>
  <si>
    <t xml:space="preserve">ВІТАМІНИ ГРУПИ B</t>
  </si>
  <si>
    <t xml:space="preserve">Нікотинамід (вітамін B3)</t>
  </si>
  <si>
    <t xml:space="preserve">1 кг (ТОВ «СРП»)</t>
  </si>
  <si>
    <t xml:space="preserve">ТОВ «СРП» — 2 000 грн/кг за 1 кг, 1 900 грн/кг від 10 кг. Це 8 мг на 100 мл</t>
  </si>
  <si>
    <t xml:space="preserve">Кальцію D-пантотенат (B5)</t>
  </si>
  <si>
    <t xml:space="preserve">1 кг (FERM)</t>
  </si>
  <si>
    <t xml:space="preserve">FERM має фасовку 1 кг; ціну уточнюйте на сайті</t>
  </si>
  <si>
    <t xml:space="preserve">Піридоксину гідрохлорид (B6)</t>
  </si>
  <si>
    <t xml:space="preserve">Макрохім або «Система Оптимум» — ціна за запитом. Вносити останнім, при t ≤ 30 °C</t>
  </si>
  <si>
    <t xml:space="preserve">Ціанокобаламін 1 % (B12)</t>
  </si>
  <si>
    <t xml:space="preserve">імпорт / власне розведення</t>
  </si>
  <si>
    <t xml:space="preserve">1 % trituration в Україні публічно не продають: або мікродоза чистого, або розводити самому</t>
  </si>
  <si>
    <t xml:space="preserve">РЕГУЛЯТОРИ КИСЛОТНОСТІ</t>
  </si>
  <si>
    <t xml:space="preserve">Лимонна кислота E330</t>
  </si>
  <si>
    <t xml:space="preserve">мішок 25 кг (ТОВ «СРП»)</t>
  </si>
  <si>
    <t xml:space="preserve">115 грн/кг за мішок, 88 грн/кг від 40 мішків. Дозувати до pH 3,2–3,6, а не «за рецептом»</t>
  </si>
  <si>
    <t xml:space="preserve">Натрію цитрат E331</t>
  </si>
  <si>
    <t xml:space="preserve">25 кг (ХімСвіт)</t>
  </si>
  <si>
    <t xml:space="preserve">99 грн/кг (2 475 грн за 25 кг). Буфер, стабілізує pH під час зберігання</t>
  </si>
  <si>
    <t xml:space="preserve">СМАК, КОЛІР, ЗАХИСТ</t>
  </si>
  <si>
    <t xml:space="preserve">Ароматизатор харчовий «енергетик»</t>
  </si>
  <si>
    <t xml:space="preserve">за запитом (Трумікс / Б2Ф)</t>
  </si>
  <si>
    <t xml:space="preserve">Усі українські виробники дають ціну лише за запитом. Бажано 2 компоненти: верхні ноти + тіло смаку</t>
  </si>
  <si>
    <t xml:space="preserve">Барвник карамель E150d</t>
  </si>
  <si>
    <t xml:space="preserve">навал / фасовка</t>
  </si>
  <si>
    <t xml:space="preserve">Купувати навалом. Роздрібні фасовки «на 100 л» за 98 грн — це в 5–10 разів дорожче за кілограм</t>
  </si>
  <si>
    <t xml:space="preserve">Натрію бензоат E211</t>
  </si>
  <si>
    <t xml:space="preserve">0,5 кг (Klebrig)</t>
  </si>
  <si>
    <t xml:space="preserve">Klebrig, Рівне — 299 грн/кг. Граничний вміст у напої 150 мг/л. Вносити ДО кислоти</t>
  </si>
  <si>
    <t xml:space="preserve">Калію сорбат E202</t>
  </si>
  <si>
    <t xml:space="preserve">Klebrig — 1 398 грн за 4 кг = 350 грн/кг. Працює в парі з бензоатом, до 300 мг/л</t>
  </si>
  <si>
    <t xml:space="preserve">Діоксид вуглецю CO2 (харчовий)</t>
  </si>
  <si>
    <t xml:space="preserve">балон 40 л / 22 кг</t>
  </si>
  <si>
    <t xml:space="preserve">ТОВ «Пожарка», Київ — 748,80 грн за балон 22 кг. На 5 000 л/міс потрібен ≈1 балон</t>
  </si>
  <si>
    <t xml:space="preserve">Вода підготовлена (RO)</t>
  </si>
  <si>
    <t xml:space="preserve">власна підготовка</t>
  </si>
  <si>
    <t xml:space="preserve">л</t>
  </si>
  <si>
    <t xml:space="preserve">Собівартість підготовки: сіль, фільтри, електрика, амортизація RO</t>
  </si>
  <si>
    <t xml:space="preserve">РАЗОМ СИРОВИНА</t>
  </si>
  <si>
    <t xml:space="preserve">Контрольні показники готового напою: масова частка сухих речовин 10,5 ± 0,3 %; pH 3,2–3,6; CO2 4,5–5,5 г/л; кофеїн 320 мг/л (у банці 0,33 л — 105 мг, у 0,5 л — 160 мг).</t>
  </si>
  <si>
    <t xml:space="preserve">Увага: вміст кофеїну — це показник, який потрапляє на етикетку й перевіряється. Кожну партію здавайте в акредитовану лабораторію, цільовий допуск ±5 %.</t>
  </si>
  <si>
    <t xml:space="preserve">Вартість сировини на 1 банку 0,33 л, грн</t>
  </si>
  <si>
    <t xml:space="preserve">Вартість сировини на 1 банку 0,5 л, грн</t>
  </si>
  <si>
    <t xml:space="preserve">СОБІВАРТІСТЬ 1 ЛІТРА ТА 1 БАНКИ 0,33 Л</t>
  </si>
  <si>
    <t xml:space="preserve">Жовті клітинки — ввід, зелений результат. Спочатку перевірте, чи реальні для вас тара й ціна розливу — саме вони, а не сировина, визначають, чи буде проєкт прибутковим.</t>
  </si>
  <si>
    <t xml:space="preserve">Стаття витрат</t>
  </si>
  <si>
    <t xml:space="preserve">На 1000 л</t>
  </si>
  <si>
    <t xml:space="preserve">На 1 л, грн</t>
  </si>
  <si>
    <t xml:space="preserve">На банку 0,33 л, грн</t>
  </si>
  <si>
    <t xml:space="preserve">Коментар</t>
  </si>
  <si>
    <t xml:space="preserve">Ставка</t>
  </si>
  <si>
    <t xml:space="preserve">Сировина за рецептурою</t>
  </si>
  <si>
    <t xml:space="preserve">грн</t>
  </si>
  <si>
    <t xml:space="preserve">Підсумок листа «Рецептура»</t>
  </si>
  <si>
    <t xml:space="preserve">Втрати сировини й напою 3 %</t>
  </si>
  <si>
    <t xml:space="preserve">%</t>
  </si>
  <si>
    <t xml:space="preserve">Розлив, промивка контуру, брак першої партії</t>
  </si>
  <si>
    <t xml:space="preserve">Вода технологічна і мийка (CIP)</t>
  </si>
  <si>
    <t xml:space="preserve">Мийні засоби, санітарія, промивка обладнання</t>
  </si>
  <si>
    <t xml:space="preserve">Алюмінієва банка 0,33 л з кришкою</t>
  </si>
  <si>
    <t xml:space="preserve">15 151 шт на місяць — тут 3 030 шт × 8,50 грн. Друкована банка або біла + слив</t>
  </si>
  <si>
    <t xml:space="preserve">Етикетка / друк / слив-плівка</t>
  </si>
  <si>
    <t xml:space="preserve">3 030 шт × 1,50 грн. Якщо банка вже друкована — тут 0</t>
  </si>
  <si>
    <t xml:space="preserve">Шринк-плівка (мультипак 4–6 шт.)</t>
  </si>
  <si>
    <t xml:space="preserve">3 030 шт × 0,80 грн — групова упаковка</t>
  </si>
  <si>
    <t xml:space="preserve">Гофрокороб і палетування</t>
  </si>
  <si>
    <t xml:space="preserve">3 030 шт × 0,60 грн — вторинна упаковка</t>
  </si>
  <si>
    <t xml:space="preserve">Розлив і закатка (контрактне виробництво)</t>
  </si>
  <si>
    <t xml:space="preserve">Орієнтир 4,00 грн за літр напою на чужій лінії. Якщо робите самі — тут лише електрика й амортизація</t>
  </si>
  <si>
    <t xml:space="preserve">Електрика, вода, стиснене повітря</t>
  </si>
  <si>
    <t xml:space="preserve">Енергоносії на власному виробництві (на контракті — 0)</t>
  </si>
  <si>
    <t xml:space="preserve">Оплата праці виробничого персоналу</t>
  </si>
  <si>
    <t xml:space="preserve">2–3 оператори на 5 000 л/міс (на контракті — 0)</t>
  </si>
  <si>
    <t xml:space="preserve">Лабораторні аналізи (мікробіологія, кофеїн)</t>
  </si>
  <si>
    <t xml:space="preserve">Кожна партія</t>
  </si>
  <si>
    <t xml:space="preserve">Логістика до дистриб'ютора</t>
  </si>
  <si>
    <t xml:space="preserve">Доставка по місту/області</t>
  </si>
  <si>
    <t xml:space="preserve">Брак і повернення 1,5 %</t>
  </si>
  <si>
    <t xml:space="preserve">Бій банки, відмови мережі</t>
  </si>
  <si>
    <t xml:space="preserve">ПОВНА СОБІВАРТІСТЬ</t>
  </si>
  <si>
    <t xml:space="preserve">Як читати: сировина за рецептурою — це 3–5 грн на літр, а тара й розлив разом — у 2–3 рази більше. Саме тому контрактний розлив і закупівля банки великим обсягом дають найбільший ефект на прибуток.</t>
  </si>
  <si>
    <t xml:space="preserve">Цей розрахунок зроблено для варіанта А (контрактний розлив): тому «Електрика» і «Оплата праці» стоять на нулі — ви платите за літр на чужій лінії. Для варіанта Б (власний цех) поставте: Електрика ≈ 2 500 грн, Праця ≈ 6 000 грн, а «Розлив і закатка» = 0; у постійні витрати додайте оренду ≈ 37 500 грн. За обсягу 5 000 л/міс собівартість у власному цеху буде вищою (≈24 грн/банка), але за 30 000 л/міс вона падає до ≈17 грн/банка.</t>
  </si>
  <si>
    <t xml:space="preserve">ТАРА: БАНКА 0,33 Л ПРОТИ ПЕТ 0,5 Л — ЧОМУ СТАРТУВАТИ З ПЕТ</t>
  </si>
  <si>
    <t xml:space="preserve">Позиція</t>
  </si>
  <si>
    <t xml:space="preserve">Банка 0,33 л</t>
  </si>
  <si>
    <t xml:space="preserve">ПЕТ 0,5 л</t>
  </si>
  <si>
    <t xml:space="preserve">Тара, грн/шт</t>
  </si>
  <si>
    <t xml:space="preserve">Банка — оцінка (ціни не публікуються, Velena/CANPACK — за запитом). ПЕТ 0,5 л з горлом 28 мм — 749 грн/160 шт</t>
  </si>
  <si>
    <t xml:space="preserve">Кришка, грн/шт</t>
  </si>
  <si>
    <t xml:space="preserve">У банки кришка (easy-open end) входить у ціну банки, у ПЕТ — окремо</t>
  </si>
  <si>
    <t xml:space="preserve">Етикетка, грн/шт</t>
  </si>
  <si>
    <t xml:space="preserve">Самоклеюча етикетка від 0,17 грн (Арт Віжн). Для банки потрібен слив або друк</t>
  </si>
  <si>
    <t xml:space="preserve">Разом тара, грн/шт</t>
  </si>
  <si>
    <t xml:space="preserve">Формули</t>
  </si>
  <si>
    <t xml:space="preserve">Об'єм, л</t>
  </si>
  <si>
    <t xml:space="preserve">Тара на 1 літр напою, грн</t>
  </si>
  <si>
    <t xml:space="preserve">Ключовий показник — ПЕТ дешевший у 2,5 раза на літр</t>
  </si>
  <si>
    <t xml:space="preserve">Тара на 1 000 л, грн</t>
  </si>
  <si>
    <t xml:space="preserve">Різниця на місяць (5 000 л) — понад 80 000 грн</t>
  </si>
  <si>
    <t xml:space="preserve">Висновок: на 0,33 л у банці тара коштує ≈9,10 грн, на 0,5 л у ПЕТ — ≈5,45 грн. У перерахунку на літр це 27,6 грн проти 10,9 грн. Плюс банка вимагає мінімальної партії 20 000+ шт і брендованої тари від 100 000 шт — недосяжно на 5 000 л/міс. Тому: старт на ПЕТ 0,5 л, банка — після 20 000 л/міс.</t>
  </si>
  <si>
    <t xml:space="preserve">ПОСТАЧАЛЬНИКИ СИРОВИНИ ТА ТАРИ В УКРАЇНІ</t>
  </si>
  <si>
    <t xml:space="preserve">Перевірені компанії з контактами. Ціни, позначені «за запитом», не публікуються — їх треба запросити комерційною пропозицією. Станом на вересень 2026 р.</t>
  </si>
  <si>
    <t xml:space="preserve">Категорія</t>
  </si>
  <si>
    <t xml:space="preserve">Компанія</t>
  </si>
  <si>
    <t xml:space="preserve">Місто</t>
  </si>
  <si>
    <t xml:space="preserve">Контакти</t>
  </si>
  <si>
    <t xml:space="preserve">Сайт</t>
  </si>
  <si>
    <t xml:space="preserve">Ціна / орієнтир</t>
  </si>
  <si>
    <t xml:space="preserve">Мін. партія</t>
  </si>
  <si>
    <t xml:space="preserve">СИРОВИНА — активні компоненти</t>
  </si>
  <si>
    <t xml:space="preserve">Кофеїн безводний</t>
  </si>
  <si>
    <t xml:space="preserve">ТОВ «Хімсейл»</t>
  </si>
  <si>
    <t xml:space="preserve">Київ, бул. Вацлава Гавела, 10</t>
  </si>
  <si>
    <t xml:space="preserve">+38 (099) 537 90 00, +38 (097) 537 90 00, ximsale@gmail.com</t>
  </si>
  <si>
    <t xml:space="preserve">chemsale.com.ua</t>
  </si>
  <si>
    <t xml:space="preserve">1 090 грн/кг, у наявності</t>
  </si>
  <si>
    <t xml:space="preserve">1 кг</t>
  </si>
  <si>
    <t xml:space="preserve">Найкращий варіант для старту: є специфікація на 16 показників (вміст 99,8 %), продають і ФОП, і фізособам</t>
  </si>
  <si>
    <t xml:space="preserve">Кофеїн безводний (найгнучкіша фасовка)</t>
  </si>
  <si>
    <t xml:space="preserve">ТОВ «БІОЛАЙН»</t>
  </si>
  <si>
    <t xml:space="preserve">Лубни, Полтавська обл.</t>
  </si>
  <si>
    <t xml:space="preserve">biolin.com.ua, форма на сайті</t>
  </si>
  <si>
    <t xml:space="preserve">biolin.ub.ua</t>
  </si>
  <si>
    <t xml:space="preserve">1 350 грн/кг; 1 200 грн/кг від 25 кг</t>
  </si>
  <si>
    <t xml:space="preserve">від 100 г</t>
  </si>
  <si>
    <t xml:space="preserve">Єдина компанія, що продає кофеїн від 100 грамів — ідеально для пробних варок</t>
  </si>
  <si>
    <t xml:space="preserve">Кофеїн безводний (найдешевший)</t>
  </si>
  <si>
    <t xml:space="preserve">PROFIPROT (через Bigl.ua / Prom.ua)</t>
  </si>
  <si>
    <t xml:space="preserve">онлайн</t>
  </si>
  <si>
    <t xml:space="preserve">через маркетплейс</t>
  </si>
  <si>
    <t xml:space="preserve">bigl.ua</t>
  </si>
  <si>
    <t xml:space="preserve">990 грн/кг</t>
  </si>
  <si>
    <t xml:space="preserve">Спортпит-бренд, а не B2B-дистриб'ютор: сертифікат і специфікацію під харчове виробництво можуть не надати</t>
  </si>
  <si>
    <t xml:space="preserve">Кофеїн безводний (для виробництва)</t>
  </si>
  <si>
    <t xml:space="preserve">ТОВ «Макрохім»</t>
  </si>
  <si>
    <t xml:space="preserve">Київ</t>
  </si>
  <si>
    <t xml:space="preserve">+380 (44) 495 27 00, info@macrochem.ua</t>
  </si>
  <si>
    <t xml:space="preserve">macrochem.ua</t>
  </si>
  <si>
    <t xml:space="preserve">за запитом</t>
  </si>
  <si>
    <t xml:space="preserve">від 1 кг</t>
  </si>
  <si>
    <t xml:space="preserve">Один із небагатьох, у кого в каталозі одночасно кофеїн, таурин, ніацинамід і B6 — можна закрити весь «актив» одним замовленням</t>
  </si>
  <si>
    <t xml:space="preserve">Кофеїн: легальність</t>
  </si>
  <si>
    <t xml:space="preserve">Довідково (не постачальник)</t>
  </si>
  <si>
    <t xml:space="preserve">—</t>
  </si>
  <si>
    <t xml:space="preserve">zakon.rada.gov.ua/laws/show/770-2000-п</t>
  </si>
  <si>
    <t xml:space="preserve">ліцензія не потрібна</t>
  </si>
  <si>
    <t xml:space="preserve">Кофеїн НЕ є прекурсором за Постановою КМУ № 770. Зареєстрований як фармсубстанція UA/12724/01/01 (виробник Jilin Shulan, Китай; імпортер — ФК «Здоров'я», Харків)</t>
  </si>
  <si>
    <t xml:space="preserve">PROFIPROT (через Bigl.ua)</t>
  </si>
  <si>
    <t xml:space="preserve">395 грн/кг</t>
  </si>
  <si>
    <t xml:space="preserve">Найдешевший в Україні, але це залишки старого стоку: у 2025 світова ціна таурину зросла з $2 до $10/кг</t>
  </si>
  <si>
    <t xml:space="preserve">Таурин (для виробництва)</t>
  </si>
  <si>
    <t xml:space="preserve">macrochem.ua/harchova-promyslovist/harchovi-dobavky/tauryn</t>
  </si>
  <si>
    <t xml:space="preserve">Харчова кваліфікація, Китай. Обов'язково фіксуйте ціну контрактом на 3–6 місяців — ринок гарячий</t>
  </si>
  <si>
    <t xml:space="preserve">D-глюкуронолактон</t>
  </si>
  <si>
    <t xml:space="preserve">ТОВ «Хімлаборреактив»</t>
  </si>
  <si>
    <t xml:space="preserve">+380 (44) 365 42 42</t>
  </si>
  <si>
    <t xml:space="preserve">shop.hlr.ua</t>
  </si>
  <si>
    <t xml:space="preserve">25 г, 500 г</t>
  </si>
  <si>
    <t xml:space="preserve">УВАГА: кваліфікація «для синтезу» — це реактив, для напою формально не підходить. Харчову якість треба везти з Китаю (від 25 кг). Не сплутати з глюконо-дельта-лактоном E575!</t>
  </si>
  <si>
    <t xml:space="preserve">ТОВ «Юнатіс»</t>
  </si>
  <si>
    <t xml:space="preserve">Буча, Київська обл.</t>
  </si>
  <si>
    <t xml:space="preserve">+380 (67) 503 88 17, +380 (67) 440 45 94, zakaz@ingredient.top</t>
  </si>
  <si>
    <t xml:space="preserve">lactose.com.ua</t>
  </si>
  <si>
    <t xml:space="preserve">ціна на сторінці товару</t>
  </si>
  <si>
    <t xml:space="preserve">опт і роздріб</t>
  </si>
  <si>
    <t xml:space="preserve">Прямо заявляють постачання для виробників, лабораторій, ФОП і ТОВ</t>
  </si>
  <si>
    <t xml:space="preserve">Вітамін B3 — нікотинамід</t>
  </si>
  <si>
    <t xml:space="preserve">ТОВ «СРП»</t>
  </si>
  <si>
    <t xml:space="preserve">Запоріжжя</t>
  </si>
  <si>
    <t xml:space="preserve">+38 (097) 987 13 76, info@tov-srp.com</t>
  </si>
  <si>
    <t xml:space="preserve">srp.ua</t>
  </si>
  <si>
    <t xml:space="preserve">2 000 грн/кг (1 кг); 1 900 грн/кг від 10 кг</t>
  </si>
  <si>
    <t xml:space="preserve">CAS 98-92-0, кристал. Працюють з ФОП і ТОВ, відправка того ж дня</t>
  </si>
  <si>
    <t xml:space="preserve">Вітамін B5, B2 (рибофлавін)</t>
  </si>
  <si>
    <t xml:space="preserve">FERM</t>
  </si>
  <si>
    <t xml:space="preserve">0 800 20 11 88</t>
  </si>
  <si>
    <t xml:space="preserve">ferm.ua</t>
  </si>
  <si>
    <t xml:space="preserve">Є готові позиції «Вітамін B5 (кальцію пантотенат), 1 кг» і «Вітамін B2 (рибофлавін), 1 кг»</t>
  </si>
  <si>
    <t xml:space="preserve">Вітаміни B6, B12</t>
  </si>
  <si>
    <t xml:space="preserve">ТОВ «Макрохім» / «Система Оптимум»</t>
  </si>
  <si>
    <t xml:space="preserve">Київ / Західна Україна</t>
  </si>
  <si>
    <t xml:space="preserve">044 495 27 00; 050 138 50 61, 067 675 25 81</t>
  </si>
  <si>
    <t xml:space="preserve">macrochem.ua, systopt.com.ua</t>
  </si>
  <si>
    <t xml:space="preserve">B12 у формі 1 % trituration в Україні публічно не продають — або мікродоза чистого, або власне розведення</t>
  </si>
  <si>
    <t xml:space="preserve">L-карнітин (опційно)</t>
  </si>
  <si>
    <t xml:space="preserve">PROFIPROT</t>
  </si>
  <si>
    <t xml:space="preserve">2 100 грн/кг (L-тартрат)</t>
  </si>
  <si>
    <t xml:space="preserve">Для преміум-версії рецептури, у базовій не потрібен</t>
  </si>
  <si>
    <t xml:space="preserve">Екстракт гуарани 10 % (опційно)</t>
  </si>
  <si>
    <t xml:space="preserve">+380 (67) 503 88 17, zakaz@ingredient.top</t>
  </si>
  <si>
    <t xml:space="preserve">2 156,20 грн/кг</t>
  </si>
  <si>
    <t xml:space="preserve">На момент перевірки — «немає в наявності», продають під замовлення. Економічно гірше за чистий кофеїн, але дає «натуральний» маркетинг</t>
  </si>
  <si>
    <t xml:space="preserve">Екстракт зеленого чаю (опційно)</t>
  </si>
  <si>
    <t xml:space="preserve">biolin.com.ua</t>
  </si>
  <si>
    <t xml:space="preserve">prom.ua</t>
  </si>
  <si>
    <t xml:space="preserve">1 500 грн/кг; 1 400 грн/кг від 10 кг</t>
  </si>
  <si>
    <t xml:space="preserve">Сухий екстракт, готовий до відправки</t>
  </si>
  <si>
    <t xml:space="preserve">СИРОВИНА — основа, кислоти, консерванти</t>
  </si>
  <si>
    <t xml:space="preserve">Цукор білий</t>
  </si>
  <si>
    <t xml:space="preserve">ринок (оптові трейдери)</t>
  </si>
  <si>
    <t xml:space="preserve">по всій Україні</t>
  </si>
  <si>
    <t xml:space="preserve">≈31 грн/кг (ринковий орієнтир)</t>
  </si>
  <si>
    <t xml:space="preserve">від 1 т</t>
  </si>
  <si>
    <t xml:space="preserve">Заводи (Астарта, Радехівський цукор) працюють лише з великими обсягами — беріть у трейдерів</t>
  </si>
  <si>
    <t xml:space="preserve">Глюкозно-фруктозний сироп (ГФС-55)</t>
  </si>
  <si>
    <t xml:space="preserve">+380 97 987 13 76</t>
  </si>
  <si>
    <t xml:space="preserve">tov-srp.com</t>
  </si>
  <si>
    <t xml:space="preserve">99 грн/кг від 50 кг; 39 грн/кг від 800 кг; 33 грн/кг від 2400 кг</t>
  </si>
  <si>
    <t xml:space="preserve">50 кг (бочка)</t>
  </si>
  <si>
    <t xml:space="preserve">Найреалістичніша позиція для малих обсягів: публікує прайс і продає від однієї бочки</t>
  </si>
  <si>
    <t xml:space="preserve">ГФС-55 (виробник)</t>
  </si>
  <si>
    <t xml:space="preserve">Interstarch Ukraine</t>
  </si>
  <si>
    <t xml:space="preserve">Київ / Дніпровське</t>
  </si>
  <si>
    <t xml:space="preserve">website@interstarch.com.ua</t>
  </si>
  <si>
    <t xml:space="preserve">interstarch.com.ua</t>
  </si>
  <si>
    <t xml:space="preserve">промислова</t>
  </si>
  <si>
    <t xml:space="preserve">Єдиний підтверджений виробник ГФС в Україні (майданчик — Дніпровський крохмалепатоковий комбінат)</t>
  </si>
  <si>
    <t xml:space="preserve">115 грн/кг (мішок 25 кг); 88 грн/кг від 40 мішків</t>
  </si>
  <si>
    <t xml:space="preserve">Публікує повний прайс — найзручніший постачальник кислот</t>
  </si>
  <si>
    <t xml:space="preserve">ТОВ «ХімСвіт»</t>
  </si>
  <si>
    <t xml:space="preserve">Харків</t>
  </si>
  <si>
    <t xml:space="preserve">050/068 442 28 80, shop@himsvit.com.ua</t>
  </si>
  <si>
    <t xml:space="preserve">himsvit.com.ua</t>
  </si>
  <si>
    <t xml:space="preserve">99 грн/кг (2 475 грн за 25 кг)</t>
  </si>
  <si>
    <t xml:space="preserve">25 кг</t>
  </si>
  <si>
    <t xml:space="preserve">Також є «ФармХіміка» на Prom.ua — 3 200 грн/25 кг</t>
  </si>
  <si>
    <t xml:space="preserve">Яблучна кислота E296</t>
  </si>
  <si>
    <t xml:space="preserve">145 грн/кг (3 625 грн за 25 кг)</t>
  </si>
  <si>
    <t xml:space="preserve">Для класичного енергетика не обов'язкова — достатньо лимонної</t>
  </si>
  <si>
    <t xml:space="preserve">Аскорбінова кислота E300</t>
  </si>
  <si>
    <t xml:space="preserve">Агробіз</t>
  </si>
  <si>
    <t xml:space="preserve">через сайт</t>
  </si>
  <si>
    <t xml:space="preserve">agrobiz.net</t>
  </si>
  <si>
    <t xml:space="preserve">≈146 грн/кг (3 650 грн за 25 кг)</t>
  </si>
  <si>
    <t xml:space="preserve">Ціну варто перепідтвердити запитом</t>
  </si>
  <si>
    <t xml:space="preserve">Ортофосфорна кислота E338 (85 %)</t>
  </si>
  <si>
    <t xml:space="preserve">Prom.ua (постачальники)</t>
  </si>
  <si>
    <t xml:space="preserve">≈1 650 грн за каністру 10 л (17 кг) ≈ 97 грн/кг</t>
  </si>
  <si>
    <t xml:space="preserve">10 л</t>
  </si>
  <si>
    <t xml:space="preserve">Потрібна лише для смаку «кола», для класичного енергетика не обов'язкова</t>
  </si>
  <si>
    <t xml:space="preserve">Klebrig</t>
  </si>
  <si>
    <t xml:space="preserve">Рівне</t>
  </si>
  <si>
    <t xml:space="preserve">+380 67 117 89 00, klebrig.sales@gmail.com</t>
  </si>
  <si>
    <t xml:space="preserve">klebrig.com.ua</t>
  </si>
  <si>
    <t xml:space="preserve">182 грн/0,5 кг; 299 грн/1 кг</t>
  </si>
  <si>
    <t xml:space="preserve">0,5 кг</t>
  </si>
  <si>
    <t xml:space="preserve">Головна перевага — працює з фасовками від 500 г, ідеально для пробних партій</t>
  </si>
  <si>
    <t xml:space="preserve">229 грн/0,5 кг; 765 грн/2 кг; 1 398 грн/4 кг</t>
  </si>
  <si>
    <t xml:space="preserve">Разом із бензоатом дає надійний захист напою при pH нижче 4</t>
  </si>
  <si>
    <t xml:space="preserve">СИРОВИНА — смак, колір, газ</t>
  </si>
  <si>
    <t xml:space="preserve">Ароматизатор «енергетик»</t>
  </si>
  <si>
    <t xml:space="preserve">ТОВ «Трумікс-Україна» (Truemix)</t>
  </si>
  <si>
    <t xml:space="preserve">с. Муроване, Львівська обл.</t>
  </si>
  <si>
    <t xml:space="preserve">+380 99 046 85 44, info@truemix.com.ua</t>
  </si>
  <si>
    <t xml:space="preserve">truemix.com.ua</t>
  </si>
  <si>
    <t xml:space="preserve">Український виробник ароматизаторів, ISO 22000, має напрям «напої»</t>
  </si>
  <si>
    <t xml:space="preserve">Ароматизатор (кола, фрукти)</t>
  </si>
  <si>
    <t xml:space="preserve">Б2Ф Україна (представник Robertet, Франція)</t>
  </si>
  <si>
    <t xml:space="preserve">+380 50 414 66 75, +380 44 392 91 98, info@b2f-ukraine.org</t>
  </si>
  <si>
    <t xml:space="preserve">b2f.org.ua</t>
  </si>
  <si>
    <t xml:space="preserve">Є готові аромати «Кола», «Грейпфрут», «Полуниця», «Кавун», «Вишня», екстракт лимона</t>
  </si>
  <si>
    <t xml:space="preserve">Ароматизатор (проби)</t>
  </si>
  <si>
    <t xml:space="preserve">Flavors.ua</t>
  </si>
  <si>
    <t xml:space="preserve">flavors.ua</t>
  </si>
  <si>
    <t xml:space="preserve">флакони 100–120 мл</t>
  </si>
  <si>
    <t xml:space="preserve">1 флакон</t>
  </si>
  <si>
    <t xml:space="preserve">Для домашніх пробних варок 20–50 л — саме те, що потрібно на першому тижні</t>
  </si>
  <si>
    <t xml:space="preserve">Bigl.ua (імпорт, Франція)</t>
  </si>
  <si>
    <t xml:space="preserve">98 грн за фасовку «на 100 л»</t>
  </si>
  <si>
    <t xml:space="preserve">1 фасовка</t>
  </si>
  <si>
    <t xml:space="preserve">Зручно для проб, але для виробництва купуйте колер навалом — фасовки в 5–10 разів дорожчі за кг</t>
  </si>
  <si>
    <t xml:space="preserve">Рибофлавін E101 (жовтий)</t>
  </si>
  <si>
    <t xml:space="preserve">Харків-Торг</t>
  </si>
  <si>
    <t xml:space="preserve">harkiv-torg.com.ua</t>
  </si>
  <si>
    <t xml:space="preserve">Альтернатива колеру — дає «кислотно-жовтий» колір</t>
  </si>
  <si>
    <t xml:space="preserve">Діоксид вуглецю CO2 (балони)</t>
  </si>
  <si>
    <t xml:space="preserve">ТОВ «Пожарка»</t>
  </si>
  <si>
    <t xml:space="preserve">0 800 600 101</t>
  </si>
  <si>
    <t xml:space="preserve">firecontrol.com.ua</t>
  </si>
  <si>
    <t xml:space="preserve">748,80 грн за балон 40 л / 22 кг = 34 грн/кг</t>
  </si>
  <si>
    <t xml:space="preserve">1 балон</t>
  </si>
  <si>
    <t xml:space="preserve">На 5 000 л/міс потрібно ≈1 балон на місяць — найдешевша стаття витрат</t>
  </si>
  <si>
    <t xml:space="preserve">Діоксид вуглецю CO2 (рідкий)</t>
  </si>
  <si>
    <t xml:space="preserve">АТ «Львівський хімічний завод»</t>
  </si>
  <si>
    <t xml:space="preserve">Львів</t>
  </si>
  <si>
    <t xml:space="preserve">+380 32 235 12 00</t>
  </si>
  <si>
    <t xml:space="preserve">lhz.ua</t>
  </si>
  <si>
    <t xml:space="preserve">кріоцинстерна</t>
  </si>
  <si>
    <t xml:space="preserve">Харчовий CO2 виробництва Puławy (Польща), відповідає ISBT/EIGA, є висновок СЕС</t>
  </si>
  <si>
    <t xml:space="preserve">Вода: установка RO</t>
  </si>
  <si>
    <t xml:space="preserve">Ecosoft (ТОВ НВО «Екософт»)</t>
  </si>
  <si>
    <t xml:space="preserve">044 490 61 69, office@ecosoft.ua</t>
  </si>
  <si>
    <t xml:space="preserve">ecosoft.ua</t>
  </si>
  <si>
    <t xml:space="preserve">MO12000 500 л/год — 149 625 грн</t>
  </si>
  <si>
    <t xml:space="preserve">1 комплект</t>
  </si>
  <si>
    <t xml:space="preserve">Для 5 000 л/міс достатньо системи 150–250 л/год (≈40–60 тис. грн) + вугільна колона + УФ</t>
  </si>
  <si>
    <t xml:space="preserve">ТАРА ТА ПАКУВАННЯ</t>
  </si>
  <si>
    <t xml:space="preserve">Алюмінієва банка 0,33 л</t>
  </si>
  <si>
    <t xml:space="preserve">ТОВ «Кен-Пак (Україна)» / CANPACK</t>
  </si>
  <si>
    <t xml:space="preserve">м. Вишгород, Київська обл.</t>
  </si>
  <si>
    <t xml:space="preserve">(044) 496 97 80, office@canpack.com.ua</t>
  </si>
  <si>
    <t xml:space="preserve">canpack.com</t>
  </si>
  <si>
    <t xml:space="preserve">промислова (десятки тисяч шт + оснастка)</t>
  </si>
  <si>
    <t xml:space="preserve">Найбільший виробник банки в Україні, але для 5 000 л/міс практично недоступний</t>
  </si>
  <si>
    <t xml:space="preserve">Алюмінієва банка 0,33 л (малі партії)</t>
  </si>
  <si>
    <t xml:space="preserve">Velena</t>
  </si>
  <si>
    <t xml:space="preserve">velena.com.ua</t>
  </si>
  <si>
    <t xml:space="preserve">за запитом, мінімальна сума замовлення 3 000 грн</t>
  </si>
  <si>
    <t xml:space="preserve">мін. кошик 3 000 грн</t>
  </si>
  <si>
    <t xml:space="preserve">Банки 330 мл Slim / Speed Open разом із кришками. Найреалістичніший варіант для малого обсягу</t>
  </si>
  <si>
    <t xml:space="preserve">ПЕТ-пляшка 0,5 л (горло 28 мм)</t>
  </si>
  <si>
    <t xml:space="preserve">Prom.ua (український виробник)</t>
  </si>
  <si>
    <t xml:space="preserve">749 грн за 160 шт ≈ 4,68 грн/шт</t>
  </si>
  <si>
    <t xml:space="preserve">160 шт</t>
  </si>
  <si>
    <t xml:space="preserve">Для ГАЗОВАНИХ напоїв потрібне горло PCO 1881 (28 мм), не 38 мм</t>
  </si>
  <si>
    <t xml:space="preserve">ПЕТ-пляшка 0,5 л з кришкою</t>
  </si>
  <si>
    <t xml:space="preserve">ТОВ «Лінгот»</t>
  </si>
  <si>
    <t xml:space="preserve">+380 50 331 46 18, 5037091@ukr.net</t>
  </si>
  <si>
    <t xml:space="preserve">lingot.in.ua</t>
  </si>
  <si>
    <t xml:space="preserve">9 грн/шт з кришкою</t>
  </si>
  <si>
    <t xml:space="preserve">200 шт</t>
  </si>
  <si>
    <t xml:space="preserve">Увага: горло Ø38 мм — підходить лише для негазованих напоїв</t>
  </si>
  <si>
    <t xml:space="preserve">Етикетки</t>
  </si>
  <si>
    <t xml:space="preserve">«Арт Віжн»</t>
  </si>
  <si>
    <t xml:space="preserve">+380 67 432 02 22</t>
  </si>
  <si>
    <t xml:space="preserve">av.vn.ua</t>
  </si>
  <si>
    <t xml:space="preserve">від 0,17 грн/етикетка</t>
  </si>
  <si>
    <t xml:space="preserve">від 1 000 шт</t>
  </si>
  <si>
    <t xml:space="preserve">Виробництво за 1 день — можна друкувати партіями під конкретне замовлення</t>
  </si>
  <si>
    <t xml:space="preserve">Гофрокороб 200×150×100</t>
  </si>
  <si>
    <t xml:space="preserve">АСПак</t>
  </si>
  <si>
    <t xml:space="preserve">0 800 444 111, office@aspak.com.ua</t>
  </si>
  <si>
    <t xml:space="preserve">aspak.com.ua</t>
  </si>
  <si>
    <t xml:space="preserve">від 100 шт — 17,88 грн; від 1 000 — 13,62 грн; від 2 000 — 12,78 грн</t>
  </si>
  <si>
    <t xml:space="preserve">100 шт</t>
  </si>
  <si>
    <t xml:space="preserve">Прозорий прайс, є друк до 3 кольорів. Потреба ≈420 коробів/міс</t>
  </si>
  <si>
    <t xml:space="preserve">Термозбіжний рукав (sleeve)</t>
  </si>
  <si>
    <t xml:space="preserve">Prom.ua</t>
  </si>
  <si>
    <t xml:space="preserve">590 грн/кг (рукав 85 мм × 147 м)</t>
  </si>
  <si>
    <t xml:space="preserve">Для старту краще самоклеюча етикетка — sleeve потребує термоканалу (15–40 тис. грн)</t>
  </si>
  <si>
    <t xml:space="preserve">КОНТРАКТНЕ ВИРОБНИЦТВО, ОБЛАДНАННЯ ТА ПРИМІЩЕННЯ</t>
  </si>
  <si>
    <t xml:space="preserve">Курс НБУ: 1 USD = 44,86 грн, 1 EUR = 50,93 грн (вересень 2026). Ціни знайдені в реальних джерелах; те, що позначено «за запитом», у публічному доступі відсутнє — не вигадано.</t>
  </si>
  <si>
    <t xml:space="preserve">БЛОК 1. КОНТРАКТНЕ ВИРОБНИЦТВО (ко-пакінг) — рекомендований старт</t>
  </si>
  <si>
    <t xml:space="preserve">Що розливає</t>
  </si>
  <si>
    <t xml:space="preserve">Мінімальна партія</t>
  </si>
  <si>
    <t xml:space="preserve">Ціна</t>
  </si>
  <si>
    <t xml:space="preserve">ТОВ «Балта»</t>
  </si>
  <si>
    <t xml:space="preserve">balta.com.ua, contract@balta.com.ua, +38 063 744 92 80, +38 063 744 95 14</t>
  </si>
  <si>
    <t xml:space="preserve">ПЕТ 0,5–6,0 л; алюмінієва банка 0,33 і 0,5 л; кега; bag-in-box. Прямо заявляє енергетики</t>
  </si>
  <si>
    <t xml:space="preserve">від 10 000 шт (≈3 300 л у банці 0,33)</t>
  </si>
  <si>
    <t xml:space="preserve">НАЙКРАЩИЙ ВАРІАНТ: повний цикл «під ключ» — рецептура, зразки, ТД і сертифікація, лабтести, дизайн і друк етикетки, закупівля банок, митниця, склад</t>
  </si>
  <si>
    <t xml:space="preserve">«Біолайт»</t>
  </si>
  <si>
    <t xml:space="preserve">Дніпро</t>
  </si>
  <si>
    <t xml:space="preserve">biolight.com.ua, office@biolight.com.ua, +38 096 498 91 28</t>
  </si>
  <si>
    <t xml:space="preserve">Вода, соки, напої без газу та газовані</t>
  </si>
  <si>
    <t xml:space="preserve">«партії будь-якого розміру»</t>
  </si>
  <si>
    <t xml:space="preserve">індивідуальний розрахунок</t>
  </si>
  <si>
    <t xml:space="preserve">Є власна лабораторія. Обов'язково уточнити, чи є сатуратор для газованих напоїв</t>
  </si>
  <si>
    <t xml:space="preserve">Оболонь, Carlsberg, IDS, Coca-Cola HBC, Вітмарк, Росинка, Асканія</t>
  </si>
  <si>
    <t xml:space="preserve">Великі обсяги</t>
  </si>
  <si>
    <t xml:space="preserve">індустріальна (десятки тисяч л)</t>
  </si>
  <si>
    <t xml:space="preserve">Публічних прайсів немає. Для 5 000 л/міс практично недосяжні</t>
  </si>
  <si>
    <t xml:space="preserve">ГОЛОВНА ПРОБЛЕМА: 5 000 л/міс — це НИЖЧЕ типового мінімуму ко-пакінгу. Автоматична банкова лінія (2 000–20 000 банок/год) виробить ваш місячний обсяг за 45 хвилин. Реальні мінімуми галузі — 20 000–100 000 банок (6 600–33 000 л). Рішення: замовляти партію раз на 1,5–4 місяці й тримати склад (термін придатності 12 міс. це дозволяє) або йти до «Балти» з порогом від 10 000 шт.</t>
  </si>
  <si>
    <t xml:space="preserve">БЛОК 2. ОБЛАДНАННЯ — РЕАЛЬНІ ЗНАЙДЕНІ ЦІНИ</t>
  </si>
  <si>
    <t xml:space="preserve">Виробник / продавець</t>
  </si>
  <si>
    <t xml:space="preserve">У грн</t>
  </si>
  <si>
    <t xml:space="preserve">Лінія розливу + закатки в банку CANSTART-250 (до 250 банок/год)</t>
  </si>
  <si>
    <t xml:space="preserve">Czech Brewery System (ЄС)</t>
  </si>
  <si>
    <t xml:space="preserve">€862</t>
  </si>
  <si>
    <t xml:space="preserve">Розлив у банку</t>
  </si>
  <si>
    <t xml:space="preserve">Ручна/напівавтоматична мікролінія — саме те для 5 000 л/міс</t>
  </si>
  <si>
    <t xml:space="preserve">Закаточна машина UCS-300 CAN ULTRA SEAMER</t>
  </si>
  <si>
    <t xml:space="preserve">ЄС</t>
  </si>
  <si>
    <t xml:space="preserve">€820–990</t>
  </si>
  <si>
    <t xml:space="preserve">Закатка банки</t>
  </si>
  <si>
    <t xml:space="preserve">Альтернатива до CANSTART</t>
  </si>
  <si>
    <t xml:space="preserve">Мобільна CIP-станція</t>
  </si>
  <si>
    <t xml:space="preserve">«Термо-Паб», Київ, +38 067 409 91 61</t>
  </si>
  <si>
    <t xml:space="preserve">$1 095</t>
  </si>
  <si>
    <t xml:space="preserve">Санітарія контуру</t>
  </si>
  <si>
    <t xml:space="preserve">Єдина публічна ціна в українського виробника</t>
  </si>
  <si>
    <t xml:space="preserve">Етикетувальник NPL-50</t>
  </si>
  <si>
    <t xml:space="preserve">ABC Tech, abctech.com.ua</t>
  </si>
  <si>
    <t xml:space="preserve">34 493 ₴</t>
  </si>
  <si>
    <t xml:space="preserve">Етикетка на ПЕТ</t>
  </si>
  <si>
    <t xml:space="preserve">До 40 шт/хв; ПЕТ клеїть лише наповненим</t>
  </si>
  <si>
    <t xml:space="preserve">Танк 1 000 л AISI 304 (без мішалки й сорочки)</t>
  </si>
  <si>
    <t xml:space="preserve">Bigl.ua</t>
  </si>
  <si>
    <t xml:space="preserve">36 800 ₴</t>
  </si>
  <si>
    <t xml:space="preserve">Купаж</t>
  </si>
  <si>
    <t xml:space="preserve">Для повного циклу треба сорочку й мішалку — дорожче</t>
  </si>
  <si>
    <t xml:space="preserve">Лінія газованих напоїв 1 000 л/год (сатуратор + CIP + розлив)</t>
  </si>
  <si>
    <t xml:space="preserve">Suzhou Ellison (Китай), Made-in-China</t>
  </si>
  <si>
    <t xml:space="preserve">$10 000</t>
  </si>
  <si>
    <t xml:space="preserve">Повний цикл ПЕТ</t>
  </si>
  <si>
    <t xml:space="preserve">Найдешевший повний китайський комплект</t>
  </si>
  <si>
    <t xml:space="preserve">Банкова лінія розливу й закатки 2 000–20 000 банок/год</t>
  </si>
  <si>
    <t xml:space="preserve">Zhangjiagang Proman (Китай)</t>
  </si>
  <si>
    <t xml:space="preserve">$25 000</t>
  </si>
  <si>
    <t xml:space="preserve">Повний цикл банки</t>
  </si>
  <si>
    <t xml:space="preserve">Продуктивність у 40+ разів більша за вашу потребу</t>
  </si>
  <si>
    <t xml:space="preserve">Установка водопідготовки RO 500 л/год</t>
  </si>
  <si>
    <t xml:space="preserve">Ecosoft MO12000 (Україна)</t>
  </si>
  <si>
    <t xml:space="preserve">149 625 ₴</t>
  </si>
  <si>
    <t xml:space="preserve">Вода</t>
  </si>
  <si>
    <t xml:space="preserve">Для 5 000 л/міс достатньо 150–250 л/год (≈40–60 тис. грн)</t>
  </si>
  <si>
    <t xml:space="preserve">Приміщення: харчовий цех «під ключ» 200 м², Київ</t>
  </si>
  <si>
    <t xml:space="preserve">prozorro.sale (оренда)</t>
  </si>
  <si>
    <t xml:space="preserve">139 000 ₴/міс</t>
  </si>
  <si>
    <t xml:space="preserve">Виробництво</t>
  </si>
  <si>
    <t xml:space="preserve">695 грн/м²/міс. Це 27,8 грн на літр — юніт-економіка не сходиться</t>
  </si>
  <si>
    <t xml:space="preserve">Приміщення: виробниче 90 м², Київ, вул. Ушинського</t>
  </si>
  <si>
    <t xml:space="preserve">bn.ua (оренда)</t>
  </si>
  <si>
    <t xml:space="preserve">16 200 ₴/міс</t>
  </si>
  <si>
    <t xml:space="preserve">180 грн/м²/міс. Київська обл. — 90–270 грн/м²/міс</t>
  </si>
  <si>
    <t xml:space="preserve">Бюджет міні-цеху: ручна мікролінія ≈$15 000–40 000 (банкова лінія €862–996 + танк + CIP $1 095 + етикетувальник + сатуратор і RO) плюс монтаж 5–10 %, приміщення й дозволи. Китайська автоматика — $70 000–100 000+. Але ручна лінія зробить ваш місячний обсяг за ~8 змін, тобто обладнання простоюватиме 90 % часу.</t>
  </si>
  <si>
    <t xml:space="preserve">БЛОК 3. ТРИ СЦЕНАРІЇ ЗАПУСКУ</t>
  </si>
  <si>
    <t xml:space="preserve">Сценарій</t>
  </si>
  <si>
    <t xml:space="preserve">Що потрібно</t>
  </si>
  <si>
    <t xml:space="preserve">Вкладення</t>
  </si>
  <si>
    <t xml:space="preserve">Плюси</t>
  </si>
  <si>
    <t xml:space="preserve">Мінуси</t>
  </si>
  <si>
    <t xml:space="preserve">A. Контрактний розлив (рекомендовано на старт)</t>
  </si>
  <si>
    <t xml:space="preserve">Рецептура + закупівля сировини + замовлення розливу (напр. «Балта» — від 10 000 шт)</t>
  </si>
  <si>
    <t xml:space="preserve">150 000–500 000 ₴</t>
  </si>
  <si>
    <t xml:space="preserve">Нуль витрат на обладнання, старт за 2–3 міс., можна тестувати смаки, партнер бере на себе ТД, сертифікацію й митницю</t>
  </si>
  <si>
    <t xml:space="preserve">Мінімальна партія 10 000–30 000 шт; менший контроль; вища ціна за літр; частину прибутку віддаєте партнеру</t>
  </si>
  <si>
    <t xml:space="preserve">B. Власний міні-цех</t>
  </si>
  <si>
    <t xml:space="preserve">Обладнання $15 000–40 000, приміщення 100–250 м², персонал, HACCP</t>
  </si>
  <si>
    <t xml:space="preserve">1 500 000–4 500 000 ₴</t>
  </si>
  <si>
    <t xml:space="preserve">Повний контроль, нижча собівартість, можна рости</t>
  </si>
  <si>
    <t xml:space="preserve">Оренда харчового цеху в Києві 695 ₴/м²/міс = до 27 ₴ на літр; обладнання простоює; довгий запуск 6–12 міс.</t>
  </si>
  <si>
    <t xml:space="preserve">C. Private label у готового виробника</t>
  </si>
  <si>
    <t xml:space="preserve">Готова рецептура виробника, ваш бренд</t>
  </si>
  <si>
    <t xml:space="preserve">80 000–300 000 ₴</t>
  </si>
  <si>
    <t xml:space="preserve">Найшвидший старт, мінімум мороки</t>
  </si>
  <si>
    <t xml:space="preserve">Не контролюєте склад і смак; тонка маржа; залежність від одного партнера</t>
  </si>
  <si>
    <t xml:space="preserve">ВИСНОВОК ДОСЛІДЖЕННЯ: стартувати треба з ПЕТ 0,5 л, а не з банки 0,33 л. Банка вимагає мінімальної партії 20 000+ шт і брендованої тари від 100 000 шт — це недосяжно на 5 000 л/міс. Тара для ПЕТ (пляшка 4,68 + кришка ≈0,60 + етикетка 0,17) ≈ 5,45 грн на пляшку 0,5 л проти ≈9,10 грн на банку 0,33 л. Банку додавайте після 20 000 л/міс.</t>
  </si>
  <si>
    <t xml:space="preserve">МІСЯЧНА ЕКОНОМІКА НА 5 000 Л (≈15 151 БАНКА 0,33 Л)</t>
  </si>
  <si>
    <t xml:space="preserve">Жовте — ввід. Змініть обсяг і ціну, щоб побачити свою картину.</t>
  </si>
  <si>
    <t xml:space="preserve">Показник</t>
  </si>
  <si>
    <t xml:space="preserve">Значення</t>
  </si>
  <si>
    <t xml:space="preserve">Формула / пояснення</t>
  </si>
  <si>
    <t xml:space="preserve">Обсяг виробництва</t>
  </si>
  <si>
    <t xml:space="preserve">Ваш план на місяць</t>
  </si>
  <si>
    <t xml:space="preserve">Кількість банок 0,33 л</t>
  </si>
  <si>
    <t xml:space="preserve">шт</t>
  </si>
  <si>
    <t xml:space="preserve">Обсяг / 0,33 л</t>
  </si>
  <si>
    <t xml:space="preserve">Відпускна ціна 1 банки без ПДВ</t>
  </si>
  <si>
    <t xml:space="preserve">Ціна для дистриб'ютора або мережі. Полична ціна тоді ≈ 32–35 грн</t>
  </si>
  <si>
    <t xml:space="preserve">Виручка без ПДВ</t>
  </si>
  <si>
    <t xml:space="preserve">Банки × ціна</t>
  </si>
  <si>
    <t xml:space="preserve">Змінні витрати (собівартість)</t>
  </si>
  <si>
    <t xml:space="preserve">Банки × собівартість банки</t>
  </si>
  <si>
    <t xml:space="preserve">Валова маржа</t>
  </si>
  <si>
    <t xml:space="preserve">Виручка − змінні витрати</t>
  </si>
  <si>
    <t xml:space="preserve">Валова маржа, %</t>
  </si>
  <si>
    <t xml:space="preserve">Маржинальність</t>
  </si>
  <si>
    <t xml:space="preserve">Маржа на 1 банку</t>
  </si>
  <si>
    <t xml:space="preserve">Скільки лишається з банки</t>
  </si>
  <si>
    <t xml:space="preserve">— Постійні витрати —</t>
  </si>
  <si>
    <t xml:space="preserve">Оренда приміщення (0 — якщо контрактний розлив)</t>
  </si>
  <si>
    <t xml:space="preserve">Власний цех 150 м² × 250 грн = 37 500 грн</t>
  </si>
  <si>
    <t xml:space="preserve">Адміністративна зарплата (власник, менеджер, бухгалтер)</t>
  </si>
  <si>
    <t xml:space="preserve">На старті власник працює сам — це головна економія</t>
  </si>
  <si>
    <t xml:space="preserve">Маркетинг і просування</t>
  </si>
  <si>
    <t xml:space="preserve">SMM, дегустації, промо в точках</t>
  </si>
  <si>
    <t xml:space="preserve">Логістика, склад, інше</t>
  </si>
  <si>
    <t xml:space="preserve">Оренда складу, паливо, зв'язок</t>
  </si>
  <si>
    <t xml:space="preserve">Разом постійні витрати</t>
  </si>
  <si>
    <t xml:space="preserve">ОПЕРАЦІЙНИЙ ПРИБУТОК до податків</t>
  </si>
  <si>
    <t xml:space="preserve">Валова маржа − постійні</t>
  </si>
  <si>
    <t xml:space="preserve">Податок (ТОВ, податок на прибуток 18 % або ФОП 3 група 5 %)</t>
  </si>
  <si>
    <t xml:space="preserve">Тут — оптимістичний варіант ФОП 3 групи</t>
  </si>
  <si>
    <t xml:space="preserve">ЧИСТИЙ ПРИБУТОК</t>
  </si>
  <si>
    <t xml:space="preserve">Точка беззбитковості, банок/міс</t>
  </si>
  <si>
    <t xml:space="preserve">Постійні витрати / маржа з банки</t>
  </si>
  <si>
    <t xml:space="preserve">Точка беззбитковості, літрів/міс</t>
  </si>
  <si>
    <t xml:space="preserve">Головний висновок моделі: на 5 000 л/міс проєкт працює «в нуль» — постійні витрати з'їдають майже всю маржу. Економіка з'являється з 30 000–50 000 банок на місяць. Тому на старт краще брати контрактний розлив і мінімум постійних витрат, а масштаб нарощувати продажами, а не обладнанням.</t>
  </si>
  <si>
    <t xml:space="preserve">ЧУТЛИВІСТЬ: ЩО БУДЕ З ПРИБУТКОМ ПРИ РІЗНИХ ОБСЯГАХ</t>
  </si>
  <si>
    <t xml:space="preserve">Рахується від тих самих ввідних даних вище (ціна, собівартість банки, постійні витрати).</t>
  </si>
  <si>
    <t xml:space="preserve">Обсяг, л/міс</t>
  </si>
  <si>
    <t xml:space="preserve">Банок 0,33 л</t>
  </si>
  <si>
    <t xml:space="preserve">Виручка без ПДВ, грн</t>
  </si>
  <si>
    <t xml:space="preserve">Змінні витрати, грн</t>
  </si>
  <si>
    <t xml:space="preserve">Маржинальний прибуток, грн</t>
  </si>
  <si>
    <t xml:space="preserve">Операційний прибуток, грн</t>
  </si>
  <si>
    <t xml:space="preserve">Собівартість банки в цій таблиці взята незмінною. Насправді вона падає з обсягом: банка з друком, сировина й розлив дешевшають при великих партіях на 15–30 %. Тому реальна картина на 50 000 л/міс буде кращою, ніж показує розрахунок.</t>
  </si>
  <si>
    <t xml:space="preserve">ПОКРОКОВИЙ ПЛАН ЗАПУСКУ</t>
  </si>
  <si>
    <t xml:space="preserve">№</t>
  </si>
  <si>
    <t xml:space="preserve">Крок</t>
  </si>
  <si>
    <t xml:space="preserve">Що конкретно зробити</t>
  </si>
  <si>
    <t xml:space="preserve">Орієнтовний строк</t>
  </si>
  <si>
    <t xml:space="preserve">Статус</t>
  </si>
  <si>
    <t xml:space="preserve">Рішення про продукт</t>
  </si>
  <si>
    <t xml:space="preserve">Визначити формат (банка 0,33 л), смак, назву, цінову нішу, канал продажу</t>
  </si>
  <si>
    <t xml:space="preserve">1–2 тижні</t>
  </si>
  <si>
    <t xml:space="preserve">Рецептура</t>
  </si>
  <si>
    <t xml:space="preserve">Затвердити склад і дози, зробити 2–3 пробні купажі (можна вручну, 20–50 л), дегустація</t>
  </si>
  <si>
    <t xml:space="preserve">2–4 тижні</t>
  </si>
  <si>
    <t xml:space="preserve">ТУ У або вибір ДСТУ</t>
  </si>
  <si>
    <t xml:space="preserve">Розробити й затвердити технічні умови України на напій, якщо не працюєте за ДСТУ</t>
  </si>
  <si>
    <t xml:space="preserve">3–6 тижнів</t>
  </si>
  <si>
    <t xml:space="preserve">Етикетка</t>
  </si>
  <si>
    <t xml:space="preserve">Розробити макет: склад, харчова цінність, вміст кофеїну, попередження, виробник, дата, умови зберігання</t>
  </si>
  <si>
    <t xml:space="preserve">Перевірка маркування</t>
  </si>
  <si>
    <t xml:space="preserve">Перевірити макет на відповідність закону про інформацію для споживачів</t>
  </si>
  <si>
    <t xml:space="preserve">1 тиждень</t>
  </si>
  <si>
    <t xml:space="preserve">Пошук виробничого майданчика</t>
  </si>
  <si>
    <t xml:space="preserve">Запити на контрактний розлив: ціна за літр, мінімальна партія, умови зберігання сировини</t>
  </si>
  <si>
    <t xml:space="preserve">2–6 тижнів</t>
  </si>
  <si>
    <t xml:space="preserve">Постачальники сировини</t>
  </si>
  <si>
    <t xml:space="preserve">Запросити CoA і специфікації, ціни, мін. партії; замовити пробні партії</t>
  </si>
  <si>
    <t xml:space="preserve">Тара</t>
  </si>
  <si>
    <t xml:space="preserve">Замовити банку й кришку, узгодити друк або слив-етикетку, мін. партію</t>
  </si>
  <si>
    <t xml:space="preserve">3–8 тижнів</t>
  </si>
  <si>
    <t xml:space="preserve">Реєстрація потужностей</t>
  </si>
  <si>
    <t xml:space="preserve">Подати повідомлення/реєстрацію потужностей до Держпродспоживслужби</t>
  </si>
  <si>
    <t xml:space="preserve">1–3 тижні</t>
  </si>
  <si>
    <t xml:space="preserve">HACCP</t>
  </si>
  <si>
    <t xml:space="preserve">Розробити й впровадити систему HACCP, вести журнали</t>
  </si>
  <si>
    <t xml:space="preserve">1–2 місяці</t>
  </si>
  <si>
    <t xml:space="preserve">Лабораторні випробування</t>
  </si>
  <si>
    <t xml:space="preserve">Здати партію на мікробіологію, вміст кофеїну, органолептику — отримати протокол</t>
  </si>
  <si>
    <t xml:space="preserve">2–3 тижні</t>
  </si>
  <si>
    <t xml:space="preserve">Перша партія</t>
  </si>
  <si>
    <t xml:space="preserve">Зварити й розлити пробну партію, закласти зразки на зберігання</t>
  </si>
  <si>
    <t xml:space="preserve">2 тижні</t>
  </si>
  <si>
    <t xml:space="preserve">Продажі</t>
  </si>
  <si>
    <t xml:space="preserve">Договори з дистриб'юторами, мережами, HoReCa, онлайн; тестові точки</t>
  </si>
  <si>
    <t xml:space="preserve">постійно</t>
  </si>
  <si>
    <t xml:space="preserve">Облік і податки</t>
  </si>
  <si>
    <t xml:space="preserve">Обрати систему оподаткування, налагодити облік, перевірити обмеження для ФОП</t>
  </si>
  <si>
    <t xml:space="preserve">БЕЗАЛКОГОЛЬНИЙ КВАС З КОФЕЇНОМ І ТАУРИНОМ — 20 Л</t>
  </si>
  <si>
    <t xml:space="preserve">Схема: ферментуємо цикорійну закваску (вона дає справжній квасний смак), ПАСТЕРИЗУЄМО її — дріжджі гинуть, бродіння зупиняється — і додаємо закваску як смаковий концентрат у безалкогольну основу разом із кофеїном і таурином. Фінальний напій виходить нижче 0,5 % об., тобто безалкогольним.</t>
  </si>
  <si>
    <t xml:space="preserve">КРОК 0. КАЛЬКУЛЯТОР МІЦНОСТІ — спочатку порахуйте, потім варіть</t>
  </si>
  <si>
    <t xml:space="preserve">Як рахується</t>
  </si>
  <si>
    <t xml:space="preserve">Цільовий вміст спирту у фінальному напої</t>
  </si>
  <si>
    <t xml:space="preserve">% об.</t>
  </si>
  <si>
    <t xml:space="preserve">ВВІД. Тримайте 0,35–0,40, щоб мати запас до порогу 0,5 %</t>
  </si>
  <si>
    <t xml:space="preserve">Міцність закваски після бродіння</t>
  </si>
  <si>
    <t xml:space="preserve">ВВІД. Заміряйте ареометром: (початкова густина − кінцева) × 131</t>
  </si>
  <si>
    <t xml:space="preserve">Максимальна частка закваски у фіналі</t>
  </si>
  <si>
    <t xml:space="preserve">Рахунок: цільовий спирт поділити на міцність закваски. Більше — не можна</t>
  </si>
  <si>
    <t xml:space="preserve">Робоча частка закваски у фіналі</t>
  </si>
  <si>
    <t xml:space="preserve">ВВІД. Беріть із запасом, не «впритул»</t>
  </si>
  <si>
    <t xml:space="preserve">Спирт у фінальному напої</t>
  </si>
  <si>
    <t xml:space="preserve">Рахунок: міцність закваски помножити на робочу частку. Мусить бути менше 0,50</t>
  </si>
  <si>
    <t xml:space="preserve">Запас до порогу 0,5 %</t>
  </si>
  <si>
    <t xml:space="preserve">Скільки ви маєте права на похибку бродіння</t>
  </si>
  <si>
    <t xml:space="preserve">Цукор у закваску для цієї міцності</t>
  </si>
  <si>
    <t xml:space="preserve">г/л</t>
  </si>
  <si>
    <t xml:space="preserve">Рахунок: міцність помножити на 15,44. Бо 1 % об. = 7,89 г/л спирту = 15,44 г/л цукру</t>
  </si>
  <si>
    <t xml:space="preserve">Цукор у закваску на 20 л</t>
  </si>
  <si>
    <t xml:space="preserve">Йде у рецептуру нижче автоматично</t>
  </si>
  <si>
    <t xml:space="preserve">ЕТАП 1. Ферментована цикорійна закваска (вихід 20 л)</t>
  </si>
  <si>
    <t xml:space="preserve">Кількість</t>
  </si>
  <si>
    <t xml:space="preserve">К-сть</t>
  </si>
  <si>
    <t xml:space="preserve">Ціна за од., грн</t>
  </si>
  <si>
    <t xml:space="preserve">Вартість, грн</t>
  </si>
  <si>
    <t xml:space="preserve">20 л</t>
  </si>
  <si>
    <t xml:space="preserve">Прокип'ятити й охолодити до 25 °C</t>
  </si>
  <si>
    <t xml:space="preserve">Цикорій (смажений мелений або розчинний)</t>
  </si>
  <si>
    <t xml:space="preserve">250 г</t>
  </si>
  <si>
    <t xml:space="preserve">Заварити окремо, настояти 20 хв, процідити. Дає колір, гірчинку й «кавову» ноту</t>
  </si>
  <si>
    <t xml:space="preserve">Цукор</t>
  </si>
  <si>
    <t xml:space="preserve">Кількість рахується автоматично з калькулятора міцності</t>
  </si>
  <si>
    <t xml:space="preserve">Дріжджі сухі хлібопекарські</t>
  </si>
  <si>
    <t xml:space="preserve">15 г</t>
  </si>
  <si>
    <t xml:space="preserve">0,75 г/л. Більше не треба — з'явиться дріжджовий присмак</t>
  </si>
  <si>
    <t xml:space="preserve">Лимонна кислота</t>
  </si>
  <si>
    <t xml:space="preserve">20 г</t>
  </si>
  <si>
    <t xml:space="preserve">Захищає від сторонньої мікрофлори</t>
  </si>
  <si>
    <t xml:space="preserve">РАЗОМ ЗАКВАСКА (вихід 20 л)</t>
  </si>
  <si>
    <t xml:space="preserve">Бродіння 3–4 доби при 20–24 °C під гідрозатвором або нещільною кришкою — НЕ закупорювати. Готовність визначають не за календарем, а за ареометром: коли густина перестала падати, бродіння закінчилось. Потім обов'язково заміряти міцність і ПАСТЕРИЗУВАТИ: 5–10 хв при 75–80 °C. Пастеризація вбиває дріжджі — саме вона робить напій безалкогольним і стабільним.</t>
  </si>
  <si>
    <t xml:space="preserve">ЕТАП 2. Фінальний напій (вихід 20 л)</t>
  </si>
  <si>
    <t xml:space="preserve">Пастеризована закваска</t>
  </si>
  <si>
    <t xml:space="preserve">Кількість = 20 л × робоча частка з калькулятора. Ціна = собівартість 1 л закваски</t>
  </si>
  <si>
    <t xml:space="preserve">Вода підготовлена</t>
  </si>
  <si>
    <t xml:space="preserve">Доливається стільки, щоб разом із закваскою вийшло 20 л</t>
  </si>
  <si>
    <t xml:space="preserve">1,3 кг</t>
  </si>
  <si>
    <t xml:space="preserve">65 г/л. Класичний енергетик має 105 г/л, але для квасного смаку краще 60–70 г/л</t>
  </si>
  <si>
    <t xml:space="preserve">Довести pH до 3,2–3,6. Частину кислоти вже дає закваска</t>
  </si>
  <si>
    <t xml:space="preserve">6,4 г</t>
  </si>
  <si>
    <t xml:space="preserve">320 мг/л — стандарт категорії. Розчинити у 0,5 л води 60–80 °C</t>
  </si>
  <si>
    <t xml:space="preserve">80 г</t>
  </si>
  <si>
    <t xml:space="preserve">4 г/л. Розчинити у 1,5–2 л води (розчинність близько 90 г/л)</t>
  </si>
  <si>
    <t xml:space="preserve">Нікотинамід (B3)</t>
  </si>
  <si>
    <t xml:space="preserve">1,6 г</t>
  </si>
  <si>
    <t xml:space="preserve">80 мг/л</t>
  </si>
  <si>
    <t xml:space="preserve">0,4 г</t>
  </si>
  <si>
    <t xml:space="preserve">20 мг/л. Терези з точністю 0,01 г обов'язкові</t>
  </si>
  <si>
    <t xml:space="preserve">20 мг/л. Вносити останнім при t ≤ 30 °C</t>
  </si>
  <si>
    <t xml:space="preserve">Ціанокобаламін B12 (1 % премікс)</t>
  </si>
  <si>
    <t xml:space="preserve">40 мг</t>
  </si>
  <si>
    <t xml:space="preserve">2 мкг/л. Терезами не зважити — тільки через маточний розчин</t>
  </si>
  <si>
    <t xml:space="preserve">4 г</t>
  </si>
  <si>
    <t xml:space="preserve">0,2 г/л. Працює лише при pH &lt; 4</t>
  </si>
  <si>
    <t xml:space="preserve">3 г</t>
  </si>
  <si>
    <t xml:space="preserve">0,15 г/л — гранична норма. Вносити ДО кислоти</t>
  </si>
  <si>
    <t xml:space="preserve">РАЗОМ ФІНАЛЬНИЙ НАПІЙ (20 л)</t>
  </si>
  <si>
    <t xml:space="preserve">ПІДСУМОК</t>
  </si>
  <si>
    <t xml:space="preserve">Сировина на закваску (вихід 20 л)</t>
  </si>
  <si>
    <t xml:space="preserve">Закваски у фінальний напій іде лише частина, решта — на наступні партії</t>
  </si>
  <si>
    <t xml:space="preserve">Сировина на 20 л фінального напою</t>
  </si>
  <si>
    <t xml:space="preserve">Уже разом із закваскою, цукром, кофеїном і таурином</t>
  </si>
  <si>
    <t xml:space="preserve">Собівартість 1 літра</t>
  </si>
  <si>
    <t xml:space="preserve">грн/л</t>
  </si>
  <si>
    <t xml:space="preserve">Для порівняння: класичний енергетик у банці — 55,4 грн/л повної собівартості</t>
  </si>
  <si>
    <t xml:space="preserve">Собівартість пляшки 0,5 л (лише сировина)</t>
  </si>
  <si>
    <t xml:space="preserve">Тара додасть 5–9 грн: пляшка, кришка, етикетка</t>
  </si>
  <si>
    <t xml:space="preserve">Менше 0,5 % — напій legally безалкогольний. Але цифру треба підтвердити лабораторно</t>
  </si>
  <si>
    <t xml:space="preserve">Якщо запас менший за 0,10 — зменшуйте частку закваски</t>
  </si>
  <si>
    <t xml:space="preserve">Кофеїн</t>
  </si>
  <si>
    <t xml:space="preserve">мг/л</t>
  </si>
  <si>
    <t xml:space="preserve">Понад 150 мг/л — попередження на етикетці обов'язкове</t>
  </si>
  <si>
    <t xml:space="preserve">Калорійність ≈ 270 ккал/л, переважно від цукру</t>
  </si>
  <si>
    <t xml:space="preserve">Частка закваски</t>
  </si>
  <si>
    <t xml:space="preserve">Саме вона дає квасний смак — решту дає цикорій і кислота</t>
  </si>
  <si>
    <t xml:space="preserve">ТРИ ОБОВ'ЯЗКОВІ УМОВИ, БЕЗ ЯКИХ НІЧОГО НЕ ВИЙДЕ:</t>
  </si>
  <si>
    <t xml:space="preserve">1. ЗАМІРЯЙТЕ, А НЕ ВІРТЕ КАЛЕНДАРЮ. Міцність закваски залежить від температури й дріжджів. Ареометр (цукромір) коштує 200–400 грн. Міцність ≈ (початкова густина − кінцева) × 131. Підставте власну цифру в калькулятор — і рецептура перерахується сама.</t>
  </si>
  <si>
    <t xml:space="preserve">2. ПАСТЕРИЗАЦІЯ ЗАКВАСКИ ОБОВ'ЯЗКОВА. 5–10 хв при 75–80 °C. Якщо дріжджі лишаться живими, вони з'їдять цукор з етапу 2 — і замість 0,3 % ви отримаєте 3–5 % об., а пляшки розірве.</t>
  </si>
  <si>
    <t xml:space="preserve">3. ГАЗУВАННЯ — ТІЛЬКИ ПРИМУСОВЕ. Після пастеризації живих дріжджів немає, тому досипати цукор для газу марно — напій буде плоский. Потрібен сифон, кег із CO₂ або сатуратор на виробництві.</t>
  </si>
  <si>
    <t xml:space="preserve">МІКРОДОЗИ: 40 мг преміксу B12 терезами 0,01 г не зважити. Зробіть маточний розчин: 1 г 1 % преміксу на 1 л води = 10 мг B12 на літр, відберіть 40 мл — це ваші 0,4 мг. Так само з будь-якою добавкою менше 1 г.</t>
  </si>
  <si>
    <t xml:space="preserve">КОНСЕРВАНТИ: сорбат і бензоат працюють лише при pH &lt; 4 і тільки разом. НЕ додавайте їх разом з аскорбіновою кислотою — утворюється бензол. Якщо напій пастеризувати повністю, консерванти не потрібні.</t>
  </si>
  <si>
    <t xml:space="preserve">МАРКУВАННЯ: спирт менше 0,5 % — пишете «безалкогольний», але цифру треба довести протоколом лабораторії. Кофеїн 320 мг/л — обов'язкове попередження «Високий вміст кофеїну. Не рекомендовано для дітей, вагітних жінок та жінок у період лактації» плюс вміст кофеїну в мг/100 мл. Назву «квас» узгодьте з юристом: після розведення це може бути вже «напій квасного типу».</t>
  </si>
  <si>
    <t xml:space="preserve">ЩО КУПИТИ, ДЕ КУПИТИ І СКІЛЬКИ ЦЕ КОШТУЄ</t>
  </si>
  <si>
    <t xml:space="preserve">Курс НБУ: 1 USD = 44,86 грн. Ціни — реальні з сайтів станом на вересень 2026. Цукор, дріжджі, вода — звичайний супермаркет. Усе інше — онлайн або спеціалізований постачальник.</t>
  </si>
  <si>
    <t xml:space="preserve">БЛОК 1. ЩО КУПИТИ (важкодоступні позиції)</t>
  </si>
  <si>
    <t xml:space="preserve">Де купити</t>
  </si>
  <si>
    <t xml:space="preserve">Посилання</t>
  </si>
  <si>
    <t xml:space="preserve">Вистачить на</t>
  </si>
  <si>
    <t xml:space="preserve">ТОВ «Хімсейл», Київ, +38 099 537 90 00</t>
  </si>
  <si>
    <t xml:space="preserve">chemsale.com.ua/ua/product/kofein/</t>
  </si>
  <si>
    <t xml:space="preserve">1 090 грн/кг</t>
  </si>
  <si>
    <t xml:space="preserve">3 125 л</t>
  </si>
  <si>
    <t xml:space="preserve">Специфікація 99,8 %, у наявності. Продають і фізособам</t>
  </si>
  <si>
    <t xml:space="preserve">Кофеїн безводний (проба)</t>
  </si>
  <si>
    <t xml:space="preserve">PROFIPROT через Bigl.ua</t>
  </si>
  <si>
    <t xml:space="preserve">bigl.ua/ua/p779662147-kofein-bezvodnyj-profiprot</t>
  </si>
  <si>
    <t xml:space="preserve">195 грн/100 г</t>
  </si>
  <si>
    <t xml:space="preserve">100 г</t>
  </si>
  <si>
    <t xml:space="preserve">312 л</t>
  </si>
  <si>
    <t xml:space="preserve">Для першої проби дешевше, ніж кілограм. Для виробництва беріть у Хімсейла</t>
  </si>
  <si>
    <t xml:space="preserve">bigl.ua/ua/p2667638736-taurin-aminokislota-profiprot</t>
  </si>
  <si>
    <t xml:space="preserve">250 л</t>
  </si>
  <si>
    <t xml:space="preserve">Це залишки старого стоку. Нові партії — 900–1400 грн/кг, уточнюйте перед закупівлею</t>
  </si>
  <si>
    <t xml:space="preserve">ТОВ «Макрохім», Київ, 044 495 27 00</t>
  </si>
  <si>
    <t xml:space="preserve">macrochem.ua/harchova-promyslovist/harchovi-dobavky/tauryn/</t>
  </si>
  <si>
    <t xml:space="preserve">Харчова кваліфікація, Китай. Тут же кофеїн, B3 і B6 — можна одним замовленням</t>
  </si>
  <si>
    <t xml:space="preserve">ТОВ «СРП», Запоріжжя, +38 097 987 13 76</t>
  </si>
  <si>
    <t xml:space="preserve">srp.ua/shop/sipucha-ta-insha-himiya/nikotynamid/</t>
  </si>
  <si>
    <t xml:space="preserve">2 000 грн/кг</t>
  </si>
  <si>
    <t xml:space="preserve">12 500 л</t>
  </si>
  <si>
    <t xml:space="preserve">Найдорожча позиція першої закупівлі. Працюють з ФОП і ТОВ</t>
  </si>
  <si>
    <t xml:space="preserve">Пантотенат кальцію (B5)</t>
  </si>
  <si>
    <t xml:space="preserve">FERM, 0 800 20 11 88</t>
  </si>
  <si>
    <t xml:space="preserve">ferm.ua/vitamin-v5-kal-pan-kal-cii-d-pantotenat-1-kg/p-17379</t>
  </si>
  <si>
    <t xml:space="preserve">див. на сторінці</t>
  </si>
  <si>
    <t xml:space="preserve">50 000 л</t>
  </si>
  <si>
    <t xml:space="preserve">Готова фасовка 1 кг, доставка Новою Поштою</t>
  </si>
  <si>
    <t xml:space="preserve">ТОВ «Юнатіс», Буча, +38 067 503 88 17</t>
  </si>
  <si>
    <t xml:space="preserve">lactose.com.ua/ua/p1670104978-vitamin-piridoksinu-gidrohlorid.html</t>
  </si>
  <si>
    <t xml:space="preserve">3 256 грн/кг</t>
  </si>
  <si>
    <t xml:space="preserve">У наявності, 99 %. У цієї ж компанії є цикорій і ПЕТ-тара — можна взяти все одним замовленням</t>
  </si>
  <si>
    <t xml:space="preserve">Ціанокобаламін B12</t>
  </si>
  <si>
    <t xml:space="preserve">«Система Оптимум», 050 138 50 61</t>
  </si>
  <si>
    <t xml:space="preserve">systopt.com.ua/item-vitamin-v12-kobalamin</t>
  </si>
  <si>
    <t xml:space="preserve">уточнювати</t>
  </si>
  <si>
    <t xml:space="preserve">1 % премікс в Україні публічно майже не продають. Для проби — аптечні ампули</t>
  </si>
  <si>
    <t xml:space="preserve">Klebrig, Рівне, +38 067 117 89 00</t>
  </si>
  <si>
    <t xml:space="preserve">klebrig.com.ua/ua/g87503765-kaliya-sorbat-pischevaya</t>
  </si>
  <si>
    <t xml:space="preserve">229 грн/0,5 кг</t>
  </si>
  <si>
    <t xml:space="preserve">2 500 л</t>
  </si>
  <si>
    <t xml:space="preserve">Продають від 500 г — ідеально для проб. Тут же бензоат</t>
  </si>
  <si>
    <t xml:space="preserve">182 грн/0,5 кг</t>
  </si>
  <si>
    <t xml:space="preserve">3 300 л</t>
  </si>
  <si>
    <t xml:space="preserve">Вносити ДО кислоти, інакше випадає в осад</t>
  </si>
  <si>
    <t xml:space="preserve">ТОВ «СРП», Запоріжжя</t>
  </si>
  <si>
    <t xml:space="preserve">tov-srp.com/product/lymonna-kyslota-odnovodna/</t>
  </si>
  <si>
    <t xml:space="preserve">215 грн/1 кг; 115 грн/кг за мішок</t>
  </si>
  <si>
    <t xml:space="preserve">570 л</t>
  </si>
  <si>
    <t xml:space="preserve">Цикорій мелений</t>
  </si>
  <si>
    <t xml:space="preserve">ТОВ «Юнатіс» (лінійка «ЧІКО»)</t>
  </si>
  <si>
    <t xml:space="preserve">lactose.com.ua/ua/g124775178-chiko-tsikorij-napij</t>
  </si>
  <si>
    <t xml:space="preserve">533 л на 1 кг</t>
  </si>
  <si>
    <t xml:space="preserve">У супермаркеті теж є, але за кілограм дорожче</t>
  </si>
  <si>
    <t xml:space="preserve">Діоксид вуглецю CO2</t>
  </si>
  <si>
    <t xml:space="preserve">ТОВ «Пожарка», Київ, 0 800 600 101</t>
  </si>
  <si>
    <t xml:space="preserve">firecontrol.com.ua/ru/tekhnichni-gazi-v-balonah/vuglekislota-v-balonah.html</t>
  </si>
  <si>
    <t xml:space="preserve">748,80 грн за балон 22 кг</t>
  </si>
  <si>
    <t xml:space="preserve">4 400 л</t>
  </si>
  <si>
    <t xml:space="preserve">34 грн/кг. Для 20 л потрібно лише 100 г</t>
  </si>
  <si>
    <t xml:space="preserve">ПЕТ-пляшка 0,5 л, горло 28 мм</t>
  </si>
  <si>
    <t xml:space="preserve">prom.ua/p1432974873-butylka-pet-gorlom.html</t>
  </si>
  <si>
    <t xml:space="preserve">4,68 грн/шт (749 грн/160 шт)</t>
  </si>
  <si>
    <t xml:space="preserve">ГОРЛО 28 мм (PCO 1881) — обов'язково для газованих. 38 мм не підходить</t>
  </si>
  <si>
    <t xml:space="preserve">Кришки 28 мм</t>
  </si>
  <si>
    <t xml:space="preserve">Ametistglass</t>
  </si>
  <si>
    <t xml:space="preserve">ametistglass.com/kryshki-i-nasadki/diametr-28-mm/</t>
  </si>
  <si>
    <t xml:space="preserve">від 0,60 грн/шт</t>
  </si>
  <si>
    <t xml:space="preserve">від 100 шт</t>
  </si>
  <si>
    <t xml:space="preserve">Беріть кришки саме під газовані напої</t>
  </si>
  <si>
    <t xml:space="preserve">«Арт Віжн», Київ, +38 067 432 02 22</t>
  </si>
  <si>
    <t xml:space="preserve">av.vn.ua/largeprint/druk-etyketok-kyiv/</t>
  </si>
  <si>
    <t xml:space="preserve">від 0,17 грн/шт</t>
  </si>
  <si>
    <t xml:space="preserve">Друк за 1 день, можна під конкретне замовлення</t>
  </si>
  <si>
    <t xml:space="preserve">Гофрокороб</t>
  </si>
  <si>
    <t xml:space="preserve">АСПак, Київ, 0 800 444 111</t>
  </si>
  <si>
    <t xml:space="preserve">aspak.com.ua/hofroiashchyky-200x150x100-buri-5-ty/</t>
  </si>
  <si>
    <t xml:space="preserve">від 12,78 грн/шт</t>
  </si>
  <si>
    <t xml:space="preserve">Для 20 л потрібно 4 короби</t>
  </si>
  <si>
    <t xml:space="preserve">Ареометр (цукромір) 0–25</t>
  </si>
  <si>
    <t xml:space="preserve">Епіцентр</t>
  </si>
  <si>
    <t xml:space="preserve">epicentrk.ua (пошук: ареометр для цукру)</t>
  </si>
  <si>
    <t xml:space="preserve">≈200–350 грн</t>
  </si>
  <si>
    <t xml:space="preserve">1 шт</t>
  </si>
  <si>
    <t xml:space="preserve">БЕЗ НЬОГО НЕ ВАРІТЬ: саме він показує, коли бродіння зупинилось</t>
  </si>
  <si>
    <t xml:space="preserve">Терези 0,01 г</t>
  </si>
  <si>
    <t xml:space="preserve">Prom.ua / Rozetka</t>
  </si>
  <si>
    <t xml:space="preserve">prom.ua (пошук: ваги ювелірні 0,01 г)</t>
  </si>
  <si>
    <t xml:space="preserve">≈400–800 грн</t>
  </si>
  <si>
    <t xml:space="preserve">Без них не зважите B5, B6 і консерванти</t>
  </si>
  <si>
    <t xml:space="preserve">pH-метр</t>
  </si>
  <si>
    <t xml:space="preserve">prom.ua (пошук: pH-метр кишеньковий)</t>
  </si>
  <si>
    <t xml:space="preserve">≈600–1 200 грн</t>
  </si>
  <si>
    <t xml:space="preserve">Потрібен для контролю pH 3,2–3,6</t>
  </si>
  <si>
    <t xml:space="preserve">Газування: карбокап або сифон</t>
  </si>
  <si>
    <t xml:space="preserve">Prom.ua / Bigl.ua</t>
  </si>
  <si>
    <t xml:space="preserve">bigl.ua (пошук: сифон-сатуратор SodaStream)</t>
  </si>
  <si>
    <t xml:space="preserve">карбокап ≈300–600 грн; сифон 3 000–6 000 грн</t>
  </si>
  <si>
    <t xml:space="preserve">Після пастеризації дріжджів немає — газ тільки примусово</t>
  </si>
  <si>
    <t xml:space="preserve">БЛОК 2. ПОВНА СОБІВАРТІСТЬ 20 Л НАПОЮ</t>
  </si>
  <si>
    <t xml:space="preserve">Стаття</t>
  </si>
  <si>
    <t xml:space="preserve">Сума, грн</t>
  </si>
  <si>
    <t xml:space="preserve">На пляшку 0,5 л, грн</t>
  </si>
  <si>
    <t xml:space="preserve">Закваска: цикорій</t>
  </si>
  <si>
    <t xml:space="preserve">250 г на 20 л закваски, у напій іде 15 % закваски</t>
  </si>
  <si>
    <t xml:space="preserve">Закваска: цукор</t>
  </si>
  <si>
    <t xml:space="preserve">650 г на закваску</t>
  </si>
  <si>
    <t xml:space="preserve">Закваска: дріжджі сухі</t>
  </si>
  <si>
    <t xml:space="preserve">15 г на закваску. У супермаркеті дріжджі дешевші</t>
  </si>
  <si>
    <t xml:space="preserve">Закваска: лимонна кислота</t>
  </si>
  <si>
    <t xml:space="preserve">20 г на закваску</t>
  </si>
  <si>
    <t xml:space="preserve">Закваска: вода</t>
  </si>
  <si>
    <t xml:space="preserve">3 л закваски у фінальному напої</t>
  </si>
  <si>
    <t xml:space="preserve">Вода питна</t>
  </si>
  <si>
    <t xml:space="preserve">Підготовлена або кип'ячена</t>
  </si>
  <si>
    <t xml:space="preserve">65 г/л у фінальному напої</t>
  </si>
  <si>
    <t xml:space="preserve">Довести pH до 3,2–3,6</t>
  </si>
  <si>
    <t xml:space="preserve">320 мг/л</t>
  </si>
  <si>
    <t xml:space="preserve">4 г/л. Якщо встигнете купити по 395 грн/кг — ця стаття впаде вдвічі</t>
  </si>
  <si>
    <t xml:space="preserve">Нікотинамід B3</t>
  </si>
  <si>
    <t xml:space="preserve">Пантотенат кальцію B5</t>
  </si>
  <si>
    <t xml:space="preserve">20 мг/л</t>
  </si>
  <si>
    <t xml:space="preserve">Піридоксину HCl B6</t>
  </si>
  <si>
    <t xml:space="preserve">20 мг/л — ціна реальна, Юнатіс</t>
  </si>
  <si>
    <t xml:space="preserve">2 мкг/л чистого B12</t>
  </si>
  <si>
    <t xml:space="preserve">0,2 г/л</t>
  </si>
  <si>
    <t xml:space="preserve">0,15 г/л</t>
  </si>
  <si>
    <t xml:space="preserve">СИРОВИНА РАЗОМ</t>
  </si>
  <si>
    <t xml:space="preserve">ПЕТ-пляшка 0,5 л</t>
  </si>
  <si>
    <t xml:space="preserve">40 пляшок на 20 л</t>
  </si>
  <si>
    <t xml:space="preserve">Кришка 28 мм</t>
  </si>
  <si>
    <t xml:space="preserve">Обов'язково під газовані напої</t>
  </si>
  <si>
    <t xml:space="preserve">Самоклеюча, «Арт Віжн»</t>
  </si>
  <si>
    <t xml:space="preserve">По 12 пляшок у коробі</t>
  </si>
  <si>
    <t xml:space="preserve">CO2 для газування</t>
  </si>
  <si>
    <t xml:space="preserve">100 г на 20 л (5 г/л)</t>
  </si>
  <si>
    <t xml:space="preserve">ТАРА Й ПАКУВАННЯ РАЗОМ</t>
  </si>
  <si>
    <t xml:space="preserve">РАЗОМ 20 Л ГОТОВОГО НАПОЮ</t>
  </si>
  <si>
    <t xml:space="preserve">Порівняння: класичний енергетик у банці 0,33 л має повну собівартість 18,28 грн, тобто 55,4 грн/л. Цей напій — орієнтовно 20 грн/л. Але тара й пакування тут — половина всієї суми, як і в будь-якому напої.</t>
  </si>
  <si>
    <t xml:space="preserve">БЛОК 3. СКІЛЬКИ ТРЕБА ВИТРАТИТИ, ЩОБ ПОЧАТИ</t>
  </si>
  <si>
    <t xml:space="preserve">ДЕШЕВИЙ СТАРТ (проба 20 л)</t>
  </si>
  <si>
    <t xml:space="preserve">ПОВНИЙ НАБІР (виробництво)</t>
  </si>
  <si>
    <t xml:space="preserve">Проба: 100 г у PROFIPROT вистачить на 312 л. Виробництво: 1 кг у Хімсейла</t>
  </si>
  <si>
    <t xml:space="preserve">MOQ 1 кг в обох випадках — вистачить на 250 л</t>
  </si>
  <si>
    <t xml:space="preserve">Вітамін B3 (нікотинамід)</t>
  </si>
  <si>
    <t xml:space="preserve">Проба: аптечні таблетки 50 мг × 32 шт. Виробництво: 1 кг харчового — ТІЛЬКИ з CoA</t>
  </si>
  <si>
    <t xml:space="preserve">Вітамін B5 (пантотенат кальцію)</t>
  </si>
  <si>
    <t xml:space="preserve">Проба: аптечні таблетки 100 мг × 4 шт. Виробництво: 1 кг, FERM</t>
  </si>
  <si>
    <t xml:space="preserve">Вітамін B6 (піридоксин)</t>
  </si>
  <si>
    <t xml:space="preserve">Проба: аптечні таблетки 10 мг × 40 шт. Виробництво: 1 кг, Юнатіс</t>
  </si>
  <si>
    <t xml:space="preserve">Вітамін B12 (ціанокобаламін)</t>
  </si>
  <si>
    <t xml:space="preserve">Проба: 1 ампула 0,5 мг/мл — треба 0,8 мл. Виробництво: 1 % премікс</t>
  </si>
  <si>
    <t xml:space="preserve">Консерванти (сорбат + бензоат)</t>
  </si>
  <si>
    <t xml:space="preserve">Для проби НЕ ПОТРІБНІ: тримайте в холодильнику й випийте за тиждень</t>
  </si>
  <si>
    <t xml:space="preserve">Проба: пакетик 50 г із супермаркету. Виробництво: мішок 25 кг</t>
  </si>
  <si>
    <t xml:space="preserve">Цикорій</t>
  </si>
  <si>
    <t xml:space="preserve">Проба: пачка 200–250 г у супермаркеті</t>
  </si>
  <si>
    <t xml:space="preserve">Дріжджі сухі + цукор</t>
  </si>
  <si>
    <t xml:space="preserve">Супермаркет. Цукор 2 кг на закваску і купаж</t>
  </si>
  <si>
    <t xml:space="preserve">Тара на пробну партію</t>
  </si>
  <si>
    <t xml:space="preserve">Проба: будь-які чисті ПЕТ-пляшки з-під води. Купувати не треба</t>
  </si>
  <si>
    <t xml:space="preserve">Ареометр (цукромір)</t>
  </si>
  <si>
    <t xml:space="preserve">ОБОВ'ЯЗКОВО в обох випадках. Епіцентр, 200–350 грн</t>
  </si>
  <si>
    <t xml:space="preserve">Ємність для бродіння 30 л + гідрозатвор</t>
  </si>
  <si>
    <t xml:space="preserve">Харчове відро з кришкою або пивний магазин</t>
  </si>
  <si>
    <t xml:space="preserve">Термометр харчовий</t>
  </si>
  <si>
    <t xml:space="preserve">Можливо, вже є вдома</t>
  </si>
  <si>
    <t xml:space="preserve">Лакмусовий папір (замість pH-метра)</t>
  </si>
  <si>
    <t xml:space="preserve">Для проби достатньо. pH-метр 600–1200 грн — уже для виробництва</t>
  </si>
  <si>
    <t xml:space="preserve">Для проби НЕ ПОТРІБНІ: аптечні таблетки рахуються штуками, а цукор і таурин — кухонними терезами</t>
  </si>
  <si>
    <t xml:space="preserve">Газування (сифон або карбокап)</t>
  </si>
  <si>
    <t xml:space="preserve">Перша партія — без газу. Це окрема змінна, не змішуйте її з оцінкою смаку</t>
  </si>
  <si>
    <t xml:space="preserve">РАЗОМ ПЕРША ЗАКУПІВЛЯ</t>
  </si>
  <si>
    <t xml:space="preserve">ЧИТАЙТЕ ЦЕ ПРАВИЛЬНО: сума першої закупівлі — це не собівартість 20 л. Це запас сировини, якого вистачить на сотні й тисячі літрів. Вітаміни B3 і B6 разом — понад 5 000 грн, але в самому напої вони коштують 4 копійки на літр. Саме тому перша партія завжди виглядає «дорогою».</t>
  </si>
  <si>
    <t xml:space="preserve">ЯК ЗЕКОНОМИТИ НА ПРОБІ: для домашніх 20 л візьміть аптечні форми вітамінів (нікотинамід, піридоксин, ціанокобаламін в ампулах) — це кількасот гривень замість 5 000+. Але для продажу аптечні форми НЕ ПІДХОДЯТЬ: потрібна харчова кваліфікація і сертифікат аналізу на кожну партію.</t>
  </si>
  <si>
    <t xml:space="preserve">ТАРА ДЛЯ КРАФТОВОГО НАПОЮ: ПЕТ БАНКА, СКЛО, ПЕТ-ПЛЯШКА</t>
  </si>
  <si>
    <t xml:space="preserve">Ціни тари — знайдені в реальних магазинах (дрібний опт, вересень 2026). У колонці «гурт» — оцінка для закупівлі від 5 000 шт напряму з заводу: її треба підтвердити комерційною пропозицією. Жовті клітинки можна міняти на свої ціни.</t>
  </si>
  <si>
    <t xml:space="preserve">БЛОК 1. СКІЛЬКИ КОШТУЄ КОЖНА ТАРА</t>
  </si>
  <si>
    <t xml:space="preserve">Дрібний опт, грн</t>
  </si>
  <si>
    <t xml:space="preserve">Гурт від 5 000 шт, грн</t>
  </si>
  <si>
    <t xml:space="preserve">Найдешевша тара. Виглядає масово — для преміуму не годиться</t>
  </si>
  <si>
    <t xml:space="preserve">ПЕТ банка 0,33 л (кришка speed open)</t>
  </si>
  <si>
    <t xml:space="preserve">prom.ua/ua/p2921557994-pet-tara-banka.html</t>
  </si>
  <si>
    <t xml:space="preserve">Формат «як алюмінієва банка», але пластиковий. Нішевий, тому дорогий</t>
  </si>
  <si>
    <t xml:space="preserve">ПЕТ банка 0,5 л (кришка 63 мм)</t>
  </si>
  <si>
    <t xml:space="preserve">fabrika-upakovki.com/ua/p2122179911-banka-pet-500.html</t>
  </si>
  <si>
    <t xml:space="preserve">Квадратна банка з широкою кришкою. Теж нішевий формат</t>
  </si>
  <si>
    <t xml:space="preserve">Скляна пляшка 0,33 л (Long-neck, коричнева)</t>
  </si>
  <si>
    <t xml:space="preserve">уп. 360 шт</t>
  </si>
  <si>
    <t xml:space="preserve">«Інтерскло», Львів — sklotara.com</t>
  </si>
  <si>
    <t xml:space="preserve">НАЙДЕШЕВША підтверджена ціна. Без ПДВ, 100 % передоплата</t>
  </si>
  <si>
    <t xml:space="preserve">Скляна пляшка 0,5 л (Vichy Light, коричнева)</t>
  </si>
  <si>
    <t xml:space="preserve">уп. 300 шт</t>
  </si>
  <si>
    <t xml:space="preserve">ПАРАДОКС: 0,5 л дешевше за 0,33 л. Якщо об'єм не критичний — беріть 0,5</t>
  </si>
  <si>
    <t xml:space="preserve">Скляна пляшка 0,33 л (Ametist Glass, Київ)</t>
  </si>
  <si>
    <t xml:space="preserve">є на складі</t>
  </si>
  <si>
    <t xml:space="preserve">ametistglass.com</t>
  </si>
  <si>
    <t xml:space="preserve">Дорожче за Львів, але є в наявності сьогодні й ближче до Києва</t>
  </si>
  <si>
    <t xml:space="preserve">Скляна пляшка 0,5 л (прямокутна, вінчик)</t>
  </si>
  <si>
    <t xml:space="preserve">20 шт</t>
  </si>
  <si>
    <t xml:space="preserve">kormushka.ua</t>
  </si>
  <si>
    <t xml:space="preserve">Прямокутна пляшка виглядає найдорожче. Для преміум-лінійки</t>
  </si>
  <si>
    <t xml:space="preserve">Пляшка 0,33 л УЖЕ З КРОНЕНПРОБКОЮ</t>
  </si>
  <si>
    <t xml:space="preserve">опт</t>
  </si>
  <si>
    <t xml:space="preserve">«Домашнє Діло», Flagma</t>
  </si>
  <si>
    <t xml:space="preserve">Зручно: пробку не купувати окремо. Контакти за реєстрацією на Flagma</t>
  </si>
  <si>
    <t xml:space="preserve">Кроненпробка Ø26 мм</t>
  </si>
  <si>
    <t xml:space="preserve">уп. 100 шт</t>
  </si>
  <si>
    <t xml:space="preserve">«Інтерскло», Львів</t>
  </si>
  <si>
    <t xml:space="preserve">Найдешевша підтверджена. У роздріб у Києві — 2 ₴/шт, тобто втричі дорожче</t>
  </si>
  <si>
    <t xml:space="preserve">Б/в мита скляна пляшка 0,5 л</t>
  </si>
  <si>
    <t xml:space="preserve">приватні продавці, Flagma</t>
  </si>
  <si>
    <t xml:space="preserve">НАЙБІЛЬШИЙ ВАЖІЛЬ ЕКОНОМІЇ: на 5000 пляшок це 30 000–35 000 ₴. Але обсяги не гарантовані</t>
  </si>
  <si>
    <t xml:space="preserve">Етикетка самоклеюча (ПЕТ)</t>
  </si>
  <si>
    <t xml:space="preserve">1 000 шт</t>
  </si>
  <si>
    <t xml:space="preserve">Дешево, але виглядає масово</t>
  </si>
  <si>
    <t xml:space="preserve">Етикетка паперова (скло)</t>
  </si>
  <si>
    <t xml:space="preserve">av.vn.ua або goodwillpack.com.ua</t>
  </si>
  <si>
    <t xml:space="preserve">Папір + кроненпробка = класичний крафтовий вигляд</t>
  </si>
  <si>
    <t xml:space="preserve">Гофрокороб (12 пляшок)</t>
  </si>
  <si>
    <t xml:space="preserve">Скло важче — короб має бути міцнішим</t>
  </si>
  <si>
    <t xml:space="preserve">БЛОК 2. СОБІВАРТІСТЬ ОДИНИЦІ ЗА ФОРМАТАМИ</t>
  </si>
  <si>
    <t xml:space="preserve">ПЕТ банка 0,33 л</t>
  </si>
  <si>
    <t xml:space="preserve">Скло 0,33 л</t>
  </si>
  <si>
    <t xml:space="preserve">Скло 0,5 л</t>
  </si>
  <si>
    <t xml:space="preserve">Скло — «Інтерскло», Львів, без ПДВ. ПЕТ — дрібний опт</t>
  </si>
  <si>
    <t xml:space="preserve">Кришка / кроненпробка</t>
  </si>
  <si>
    <t xml:space="preserve">Кронен Ø26 — «Інтерскло» 0,70 грн. У ПЕТ банки кришка входить у ціну</t>
  </si>
  <si>
    <t xml:space="preserve">На скло — паперова, більша й дорожча за самоклеючу</t>
  </si>
  <si>
    <t xml:space="preserve">Гофрокороб (на одиницю)</t>
  </si>
  <si>
    <t xml:space="preserve">12 пляшок у коробі</t>
  </si>
  <si>
    <t xml:space="preserve">ТАРА РАЗОМ, грн</t>
  </si>
  <si>
    <t xml:space="preserve">Об'єм одиниці, л</t>
  </si>
  <si>
    <t xml:space="preserve">Тара на 1 літр, грн</t>
  </si>
  <si>
    <t xml:space="preserve">Напій в одиниці, грн</t>
  </si>
  <si>
    <t xml:space="preserve">Береться собівартість сировини з листа 8</t>
  </si>
  <si>
    <t xml:space="preserve">ПОВНА СОБІВАРТІСТЬ ОДИНИЦІ, грн</t>
  </si>
  <si>
    <t xml:space="preserve">Собівартість 1 літра в цій тарі, грн</t>
  </si>
  <si>
    <t xml:space="preserve">Одиниць із 20 л</t>
  </si>
  <si>
    <t xml:space="preserve">Тара на партію 20 л, грн</t>
  </si>
  <si>
    <t xml:space="preserve">БЛОК 3. ЦІНОВЕ ПОЗИЦІОНУВАННЯ І МАРЖА</t>
  </si>
  <si>
    <t xml:space="preserve">Формат</t>
  </si>
  <si>
    <t xml:space="preserve">Собівартість одиниці</t>
  </si>
  <si>
    <t xml:space="preserve">Ціна для магазину (ввід)</t>
  </si>
  <si>
    <t xml:space="preserve">Націнка, грн</t>
  </si>
  <si>
    <t xml:space="preserve">Націнка, %</t>
  </si>
  <si>
    <t xml:space="preserve">Полична ціна (магазин +35 %)</t>
  </si>
  <si>
    <t xml:space="preserve">Для цього формату преміум-ціну не поставиш — покупець порівняє з водою</t>
  </si>
  <si>
    <t xml:space="preserve">Виглядає як банка, але в руці відчувається пластик</t>
  </si>
  <si>
    <t xml:space="preserve">Класичний крафт: скло + кроненпробка + паперова етикетка</t>
  </si>
  <si>
    <t xml:space="preserve">Прямокутна пляшка 0,5 л — найдорожча полиця</t>
  </si>
  <si>
    <t xml:space="preserve">ГОЛОВНИЙ ВИСНОВОК: ПЕТ банка виявилась НАЙДОРОЖЧОЮ тарою — 16,64 грн за 0,33 л, дорожче за скляну пляшку (14,40) і вчетверо дорожче за ПЕТ-пляшку в перерахунку на літр. Це нішевий формат з кришкою speed open, його майже ніхто не використовує масово. Для крафтового позиціонування скло і дешевше, і виглядає правильніше.</t>
  </si>
  <si>
    <t xml:space="preserve">АЛЕ СКЛО МАЄ СВОЮ ЦІНУ: собівартість літра в склі в 3–4 рази вища, ніж у ПЕТ-пляшці. Зате й полична ціна інша: у склі ви ставите 55–75 грн за пляшку проти 22 грн у ПЕТ. Маржа з пляшки зростає приблизно втричі — саме тому крафт у склі має сенс.</t>
  </si>
  <si>
    <t xml:space="preserve">БЛОК 4. ЩО ВРАХУВАТИ САМЕ ДЛЯ СКЛА</t>
  </si>
  <si>
    <t xml:space="preserve">Питання</t>
  </si>
  <si>
    <t xml:space="preserve">Що робити</t>
  </si>
  <si>
    <t xml:space="preserve">Вага і логістика</t>
  </si>
  <si>
    <t xml:space="preserve">Пляшка 0,33 л важить близько 250 г проти 20 г у ПЕТ. 60 пляшок = 15 кг скла плюс 20 кг напою. Доставка дорожча, і це треба закласти в ціну</t>
  </si>
  <si>
    <t xml:space="preserve">Зворотна тара</t>
  </si>
  <si>
    <t xml:space="preserve">Найсильніший хід для крафту: якщо продаєте локально (HoReCa, крафтові магазини, маркети), збирайте пляшки назад. Тара з 14,40 грн перетворюється на 2–3 грн (мийка й логістика). Це і економія, і сильна еко-історія для преміум-аудиторії</t>
  </si>
  <si>
    <t xml:space="preserve">Закатка</t>
  </si>
  <si>
    <t xml:space="preserve">Для кроненпробки потрібна ручна закаточна машина (від 1 500 грн) або напівавтомат (від 15 000 грн). На 20 л це окупається за одну партію</t>
  </si>
  <si>
    <t xml:space="preserve">Тиск і безпека</t>
  </si>
  <si>
    <t xml:space="preserve">Скло тримає до 3,5–4 об'ємів CO2. Якщо бродіння не зупинене, скляна пляшка не «протече», а вибухне склом. Саме тому пастеризація закваски обов'язкова</t>
  </si>
  <si>
    <t xml:space="preserve">Темне скло</t>
  </si>
  <si>
    <t xml:space="preserve">Коричневе або зелене скло захищає напій від світла. Для напою з цикорієм це критично: на світлі він «старіє» за місяць</t>
  </si>
  <si>
    <t xml:space="preserve">Пастеризація</t>
  </si>
  <si>
    <t xml:space="preserve">Скло спокійно витримує тунельну пастеризацію 72–75 °C. ПЕТ деформується вже при 60 °C. Якщо хочете довгий термін зберігання без консервантів — скло єдиний варіант</t>
  </si>
  <si>
    <t xml:space="preserve">Паперова етикетка плюс кроненпробка дають впізнаваний крафтовий вигляд. Прямий друк по склу (шовкографія) виглядає найдорожче, але потребує тиражів від десятків тисяч</t>
  </si>
  <si>
    <t xml:space="preserve">БЛОК 5. ДЕ КУПИТИ СКЛО І КРОНЕНПРОБКУ</t>
  </si>
  <si>
    <t xml:space="preserve">Місто / статус</t>
  </si>
  <si>
    <t xml:space="preserve">Що пропонує</t>
  </si>
  <si>
    <t xml:space="preserve">«Інтерскло» (sklotara.com)</t>
  </si>
  <si>
    <t xml:space="preserve">Львів, вул. Шевченка 321Б, ДИСТРИБ'ЮТОР</t>
  </si>
  <si>
    <t xml:space="preserve">info@sklotara.com, +38 067 672-76-59, +38 073 322-13-13</t>
  </si>
  <si>
    <t xml:space="preserve">Скляна пляшка 0,33 і 0,5 л, кроненпробки Ø26</t>
  </si>
  <si>
    <t xml:space="preserve">0,33 Long-neck коричнева — 12,25 ₴/шт; 0,5 Vichy Light — 11,55 ₴/шт; кронен Ø26 — 0,70 ₴/шт (усі без ПДВ)</t>
  </si>
  <si>
    <t xml:space="preserve">уп. 360 шт (0,33) / 300 шт (0,5); мін. замовлення 1000 ₴</t>
  </si>
  <si>
    <t xml:space="preserve">НАЙДЕШЕВШЕ ПІДТВЕРДЖЕНЕ СКЛО. 100 % передоплата, доставка за ваш рахунок. Партія кратна 360 шт, не 1000</t>
  </si>
  <si>
    <t xml:space="preserve">Ametist Glass</t>
  </si>
  <si>
    <t xml:space="preserve">Київ, ДИСТРИБ'ЮТОР</t>
  </si>
  <si>
    <t xml:space="preserve">info@ametistglass.com, +38 066 007-46-30, +38 098 710-46-33</t>
  </si>
  <si>
    <t xml:space="preserve">Скляна пляшка 0,33 л, кроненпробки, закаточний пристрій</t>
  </si>
  <si>
    <t xml:space="preserve">0,33 Long-neck — 15 ₴/шт (знижка з 21 ₴); кронен Ø27 — 2 ₴/шт; закатка ручна — 1 200 ₴</t>
  </si>
  <si>
    <t xml:space="preserve">склад у Києві, 2 736 шт у наявності</t>
  </si>
  <si>
    <t xml:space="preserve">Найшвидший варіант для 500–1000 шт: товар на складі, самовивіз. Але переплата проти Львова ≈3 450 ₴ на 1000 шт</t>
  </si>
  <si>
    <t xml:space="preserve">ПрАТ «Ветропак Гостомельський склозавод»</t>
  </si>
  <si>
    <t xml:space="preserve">Гостомель, Київська обл., ВИРОБНИК</t>
  </si>
  <si>
    <t xml:space="preserve">площа Рекунова, 2, 08290 · +38 (044) 392 41 00 · reception.gostomel@vetropack.com · vetropack.com</t>
  </si>
  <si>
    <t xml:space="preserve">Пляшки для пива й напоїв, харчова склотара</t>
  </si>
  <si>
    <t xml:space="preserve">за запитом (обсяги — від фури)</t>
  </si>
  <si>
    <t xml:space="preserve">Найбільший виробник склотари в Україні, власник — Vetropack Holding (Швейцарія). Другу піч перезапущено 10.07.2025. Для 1000 пляшок не продадуть</t>
  </si>
  <si>
    <t xml:space="preserve">ТОВ «Пісківський завод скловиробів» (PGP Glass)</t>
  </si>
  <si>
    <t xml:space="preserve">смт Пісківка, Бучанський р-н, ВИРОБНИК</t>
  </si>
  <si>
    <t xml:space="preserve">вул. Тетерівська 1, 07820 · sales@pgpglass.com · pgpglass.com</t>
  </si>
  <si>
    <t xml:space="preserve">Банки (62 %) і пляшки (38 %): пивні 0,33, 0,4, 0,44, 0,45, 0,5, 0,75 л</t>
  </si>
  <si>
    <t xml:space="preserve">Виторг 1,6 млрд грн (2025). Робить пляшку 0,33 л (Gin Tonic, Heineken) — профіль точно ваш, але обсяги промислові</t>
  </si>
  <si>
    <t xml:space="preserve">«Вераллія Україна»</t>
  </si>
  <si>
    <t xml:space="preserve">с. Зоря, Рівненська обл., ВИРОБНИК</t>
  </si>
  <si>
    <t xml:space="preserve">ua.verallia.com</t>
  </si>
  <si>
    <t xml:space="preserve">Склотара для напоїв і харчових продуктів</t>
  </si>
  <si>
    <t xml:space="preserve">15.07.2025 запустила нову піч понад 400 т скла на добу, інвестиції €16 млн+, експорт у 17 країн</t>
  </si>
  <si>
    <t xml:space="preserve">Рокитнівський скляний завод · Костопільський завод скловиробів</t>
  </si>
  <si>
    <t xml:space="preserve">Рівненська обл., ВИРОБНИКИ</t>
  </si>
  <si>
    <t xml:space="preserve">через rrda.rv.gov.ua</t>
  </si>
  <si>
    <t xml:space="preserve">Склотара для напоїв, медична склотара</t>
  </si>
  <si>
    <t xml:space="preserve">Обидва діючі, експортери. Цін не публікують</t>
  </si>
  <si>
    <t xml:space="preserve">«Домашнє Діло» (Flagma)</t>
  </si>
  <si>
    <t xml:space="preserve">онлайн, дрібний опт</t>
  </si>
  <si>
    <t xml:space="preserve">flagma.ua</t>
  </si>
  <si>
    <t xml:space="preserve">Пивна пляшка 0,33 і 0,5 л УЖЕ З КРОНЕНПРОБКОЮ</t>
  </si>
  <si>
    <t xml:space="preserve">0,33 — від 13,70 ₴/шт опт; 0,5 — від 15,70 ₴/шт; кронен — від 0,80 ₴/шт</t>
  </si>
  <si>
    <t xml:space="preserve">Зручно: не треба окремо купувати пробки. Контакти продавця — за реєстрацією на Flagma</t>
  </si>
  <si>
    <t xml:space="preserve">Приватні продавці б/в тари</t>
  </si>
  <si>
    <t xml:space="preserve">Flagma / OLX</t>
  </si>
  <si>
    <t xml:space="preserve">Б/в мита скляна пляшка (переважно 0,5 л горілчана)</t>
  </si>
  <si>
    <t xml:space="preserve">5–7 ₴/шт, опт 5,00–5,20 ₴/шт</t>
  </si>
  <si>
    <t xml:space="preserve">НАЙБІЛЬШИЙ ВАЖІЛЬ ЕКОНОМІЇ: на 5000 пляшок це 30 000–35 000 ₴. Але контакти за реєстрацією, для 0,33 л цін не знайдено</t>
  </si>
  <si>
    <t xml:space="preserve">Арт Віжн</t>
  </si>
  <si>
    <t xml:space="preserve">Вінниця, поліграфія</t>
  </si>
  <si>
    <t xml:space="preserve">+38 067 432 02 22 · av.vn.ua</t>
  </si>
  <si>
    <t xml:space="preserve">Етикетки самоклеючі та паперові</t>
  </si>
  <si>
    <t xml:space="preserve">від 0,17 ₴/шт; для пляшки 0,33 л орієнтовно 1,50–3,00 ₴/шт (оцінка)</t>
  </si>
  <si>
    <t xml:space="preserve">БЕЗ мінімального тиражу</t>
  </si>
  <si>
    <t xml:space="preserve">Друк за 8 годин, кольоропроба безкоштовна, оснастка не потрібна</t>
  </si>
  <si>
    <t xml:space="preserve">Кормушка (kormushka.ua)</t>
  </si>
  <si>
    <t xml:space="preserve">онлайн, скляна тара</t>
  </si>
  <si>
    <t xml:space="preserve">+38 099 440-87-87 · Kormushka2023@gmail.com</t>
  </si>
  <si>
    <t xml:space="preserve">Пляшка скляна прямокутна 0,5 л (вінчик)</t>
  </si>
  <si>
    <t xml:space="preserve">26 ₴/шт (20 шт = 520 ₴)</t>
  </si>
  <si>
    <t xml:space="preserve">мін. замовлення 300 ₴</t>
  </si>
  <si>
    <t xml:space="preserve">Прямокутна пляшка виглядає найдорожче — для преміум-лінійки, не для масового обсягу</t>
  </si>
  <si>
    <t xml:space="preserve">ЩО ВАЖЛИВО ЗНАТИ ПРО УКРАЇНСЬКЕ СКЛО: заводів, які роблять пляшки, в Україні мало, але всі діючі — Vetropack у Гостомелі (другу піч перезапущено 10.07.2025), Пісківський завод скловиробів (PGP Glass), «Вераллія Україна» (нова піч 15.07.2025, €16 млн+), Рокитне, Костопіль. Цін не публікує ніхто, відвантажують фурами. Для 1000–5000 пляшок ваш шлях — дистриб'ютори.</t>
  </si>
  <si>
    <t xml:space="preserve">ТРИ ГОЛОВНІ ВИСНОВКИ ЗА ЦІНАМИ: (1) найдешевше підтверджене скло — «Інтерскло», Львів: 12,25 грн за 0,33 л і 11,55 грн за 0,5 л без ПДВ, але партія кратна 360 шт і потрібна 100 % передоплата. (2) Парадокс: пляшка 0,5 л ДЕШЕВША за 0,33 л — якщо об'єм не критичний, беріть 0,5. (3) Б/в мита пляшка 5–7 грн проти 12–15 нової — на 5000 шт це економія 30 000–35 000 грн.</t>
  </si>
  <si>
    <t xml:space="preserve">БЛОК 6. ЕКОНОМІКА КРАФТУ: 1 000 ПЛЯШОК 0,33 Л НА МІСЯЦЬ</t>
  </si>
  <si>
    <t xml:space="preserve">Реалістичний стартовий обсяг для крафтового бренду. 1 000 пляшок = 330 л напою.</t>
  </si>
  <si>
    <t xml:space="preserve">Нова скляна пляшка</t>
  </si>
  <si>
    <t xml:space="preserve">Зворотна (мита) пляшка</t>
  </si>
  <si>
    <t xml:space="preserve">Обсяг, пляшок</t>
  </si>
  <si>
    <t xml:space="preserve">Стартовий обсяг крафтового бренду</t>
  </si>
  <si>
    <t xml:space="preserve">Об'єм, літрів</t>
  </si>
  <si>
    <t xml:space="preserve">Пляшка 0,33 л</t>
  </si>
  <si>
    <t xml:space="preserve">Сировина (напій), грн</t>
  </si>
  <si>
    <t xml:space="preserve">7,39 грн/л — собівартість напою з листа 8</t>
  </si>
  <si>
    <t xml:space="preserve">Тара з кришкою й етикеткою, грн/шт</t>
  </si>
  <si>
    <t xml:space="preserve">Нова: пляшка 12,25 + кронен 0,70 + етикетка 1,50 + короб 0,90. Б/в: пляшка 6,00 + решта</t>
  </si>
  <si>
    <t xml:space="preserve">Тара разом, грн</t>
  </si>
  <si>
    <t xml:space="preserve">РАЗОМ СОБІВАРТІСТЬ, грн</t>
  </si>
  <si>
    <t xml:space="preserve">Ціна для магазину, грн/шт</t>
  </si>
  <si>
    <t xml:space="preserve">Полична буде ≈74 грн</t>
  </si>
  <si>
    <t xml:space="preserve">Виручка, грн</t>
  </si>
  <si>
    <t xml:space="preserve">Валова маржа, грн</t>
  </si>
  <si>
    <t xml:space="preserve">Маркетинг, дегустації, промо</t>
  </si>
  <si>
    <t xml:space="preserve">Для крафту це головна стаття</t>
  </si>
  <si>
    <t xml:space="preserve">Логістика й склад</t>
  </si>
  <si>
    <t xml:space="preserve">Скло важке — доставка дорожча</t>
  </si>
  <si>
    <t xml:space="preserve">Інші витрати (зв'язок, банк, дрібне)</t>
  </si>
  <si>
    <t xml:space="preserve">РАЗОМ ПОСТІЙНІ, грн</t>
  </si>
  <si>
    <t xml:space="preserve">ОПЕРАЦІЙНИЙ ПРИБУТОК, грн/міс</t>
  </si>
  <si>
    <t xml:space="preserve">ВИСНОВОК: зі зворотною тарою прибуток майже вдвічі вищий — різниця лише в тому, чи збираєте ви пляшки назад. Для крафту це не «екологічний бонус», а головний економічний важіль. Саме тому крафтові броварні так тримаються за локальні точки продажу й збирання тари.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</si>
</sst>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\ ##0.00"/>
    <numFmt numFmtId="166" formatCode="0.0%"/>
    <numFmt numFmtId="167" formatCode="#\ ##0"/>
    <numFmt numFmtId="168" formatCode="0.00"/>
    <numFmt numFmtId="169" formatCode="0.000"/>
    <numFmt numFmtId="170" formatCode="0.#####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mbria"/>
      <family val="0"/>
      <charset val="1"/>
    </font>
    <font>
      <b val="true"/>
      <sz val="10.5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i val="true"/>
      <sz val="9.5"/>
      <color rgb="FF595959"/>
      <name val="Cambria"/>
      <family val="0"/>
      <charset val="1"/>
    </font>
    <font>
      <b val="true"/>
      <sz val="10.5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9.5"/>
      <name val="Cambria"/>
      <family val="0"/>
      <charset val="1"/>
    </font>
    <font>
      <u val="single"/>
      <sz val="9"/>
      <color rgb="FF0563C1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30" hidden="false" customHeight="true" outlineLevel="0" collapsed="false">
      <c r="A2" s="2" t="s">
        <v>2</v>
      </c>
      <c r="B2" s="3" t="s">
        <v>3</v>
      </c>
    </row>
    <row r="3" customFormat="false" ht="30" hidden="false" customHeight="true" outlineLevel="0" collapsed="false">
      <c r="A3" s="2" t="s">
        <v>4</v>
      </c>
      <c r="B3" s="3" t="s">
        <v>5</v>
      </c>
    </row>
    <row r="4" customFormat="false" ht="30" hidden="false" customHeight="true" outlineLevel="0" collapsed="false">
      <c r="A4" s="2" t="s">
        <v>6</v>
      </c>
      <c r="B4" s="3" t="s">
        <v>7</v>
      </c>
    </row>
    <row r="5" customFormat="false" ht="30" hidden="false" customHeight="true" outlineLevel="0" collapsed="false">
      <c r="A5" s="2" t="s">
        <v>8</v>
      </c>
      <c r="B5" s="3" t="s">
        <v>9</v>
      </c>
    </row>
    <row r="6" customFormat="false" ht="30" hidden="false" customHeight="true" outlineLevel="0" collapsed="false">
      <c r="A6" s="2" t="s">
        <v>10</v>
      </c>
      <c r="B6" s="3" t="s">
        <v>11</v>
      </c>
    </row>
    <row r="7" customFormat="false" ht="30" hidden="false" customHeight="true" outlineLevel="0" collapsed="false">
      <c r="A7" s="2" t="s">
        <v>12</v>
      </c>
      <c r="B7" s="3" t="s">
        <v>13</v>
      </c>
    </row>
    <row r="8" customFormat="false" ht="30" hidden="false" customHeight="true" outlineLevel="0" collapsed="false">
      <c r="A8" s="2" t="s">
        <v>14</v>
      </c>
      <c r="B8" s="3" t="s">
        <v>15</v>
      </c>
    </row>
    <row r="9" customFormat="false" ht="30" hidden="false" customHeight="true" outlineLevel="0" collapsed="false">
      <c r="A9" s="2" t="s">
        <v>16</v>
      </c>
      <c r="B9" s="3" t="s">
        <v>17</v>
      </c>
    </row>
    <row r="10" customFormat="false" ht="30" hidden="false" customHeight="true" outlineLevel="0" collapsed="false">
      <c r="A10" s="2" t="s">
        <v>18</v>
      </c>
      <c r="B10" s="3" t="s">
        <v>19</v>
      </c>
    </row>
    <row r="11" customFormat="false" ht="30" hidden="false" customHeight="true" outlineLevel="0" collapsed="false">
      <c r="A11" s="2" t="s">
        <v>20</v>
      </c>
      <c r="B11" s="3" t="s">
        <v>21</v>
      </c>
    </row>
    <row r="12" customFormat="false" ht="30" hidden="false" customHeight="true" outlineLevel="0" collapsed="false">
      <c r="A12" s="2" t="s">
        <v>22</v>
      </c>
      <c r="B12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4" t="s">
        <v>24</v>
      </c>
      <c r="B1" s="4"/>
      <c r="C1" s="4"/>
      <c r="D1" s="4"/>
      <c r="E1" s="4"/>
      <c r="F1" s="4"/>
      <c r="G1" s="4"/>
      <c r="H1" s="4"/>
    </row>
    <row r="2" customFormat="false" ht="24.05" hidden="false" customHeight="true" outlineLevel="0" collapsed="false">
      <c r="A2" s="5" t="s">
        <v>25</v>
      </c>
      <c r="B2" s="5"/>
      <c r="C2" s="5"/>
      <c r="D2" s="5"/>
      <c r="E2" s="5"/>
      <c r="F2" s="5"/>
    </row>
    <row r="4" customFormat="false" ht="30" hidden="false" customHeight="true" outlineLevel="0" collapsed="false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</row>
    <row r="5" customFormat="false" ht="15" hidden="false" customHeight="false" outlineLevel="0" collapsed="false">
      <c r="A5" s="6" t="s">
        <v>34</v>
      </c>
      <c r="B5" s="7"/>
      <c r="C5" s="7"/>
      <c r="D5" s="7"/>
      <c r="E5" s="7"/>
      <c r="F5" s="7"/>
      <c r="G5" s="7"/>
      <c r="H5" s="7"/>
    </row>
    <row r="6" customFormat="false" ht="25.5" hidden="false" customHeight="true" outlineLevel="0" collapsed="false">
      <c r="A6" s="8" t="s">
        <v>35</v>
      </c>
      <c r="B6" s="8" t="s">
        <v>36</v>
      </c>
      <c r="C6" s="8" t="n">
        <v>105</v>
      </c>
      <c r="D6" s="8" t="s">
        <v>37</v>
      </c>
      <c r="E6" s="9" t="n">
        <v>31</v>
      </c>
      <c r="F6" s="10" t="n">
        <f aca="false">C6*E6</f>
        <v>3255</v>
      </c>
      <c r="G6" s="10" t="n">
        <f aca="false">F6/1000</f>
        <v>3.255</v>
      </c>
      <c r="H6" s="3" t="s">
        <v>38</v>
      </c>
    </row>
    <row r="7" customFormat="false" ht="15" hidden="false" customHeight="false" outlineLevel="0" collapsed="false">
      <c r="A7" s="6" t="s">
        <v>39</v>
      </c>
      <c r="B7" s="7"/>
      <c r="C7" s="7"/>
      <c r="D7" s="7"/>
      <c r="E7" s="7"/>
      <c r="F7" s="7"/>
      <c r="G7" s="7"/>
      <c r="H7" s="7"/>
    </row>
    <row r="8" customFormat="false" ht="25.5" hidden="false" customHeight="true" outlineLevel="0" collapsed="false">
      <c r="A8" s="8" t="s">
        <v>40</v>
      </c>
      <c r="B8" s="8" t="s">
        <v>41</v>
      </c>
      <c r="C8" s="8" t="n">
        <v>0.32</v>
      </c>
      <c r="D8" s="8" t="s">
        <v>37</v>
      </c>
      <c r="E8" s="9" t="n">
        <v>1090</v>
      </c>
      <c r="F8" s="10" t="n">
        <f aca="false">C8*E8</f>
        <v>348.8</v>
      </c>
      <c r="G8" s="10" t="n">
        <f aca="false">F8/1000</f>
        <v>0.3488</v>
      </c>
      <c r="H8" s="3" t="s">
        <v>42</v>
      </c>
    </row>
    <row r="9" customFormat="false" ht="25.5" hidden="false" customHeight="true" outlineLevel="0" collapsed="false">
      <c r="A9" s="8" t="s">
        <v>43</v>
      </c>
      <c r="B9" s="8" t="s">
        <v>44</v>
      </c>
      <c r="C9" s="8" t="n">
        <v>4</v>
      </c>
      <c r="D9" s="8" t="s">
        <v>37</v>
      </c>
      <c r="E9" s="9" t="n">
        <v>900</v>
      </c>
      <c r="F9" s="10" t="n">
        <f aca="false">C9*E9</f>
        <v>3600</v>
      </c>
      <c r="G9" s="10" t="n">
        <f aca="false">F9/1000</f>
        <v>3.6</v>
      </c>
      <c r="H9" s="3" t="s">
        <v>45</v>
      </c>
    </row>
    <row r="10" customFormat="false" ht="25.5" hidden="false" customHeight="true" outlineLevel="0" collapsed="false">
      <c r="A10" s="8" t="s">
        <v>46</v>
      </c>
      <c r="B10" s="8" t="s">
        <v>47</v>
      </c>
      <c r="C10" s="8" t="n">
        <v>0</v>
      </c>
      <c r="D10" s="8" t="s">
        <v>37</v>
      </c>
      <c r="E10" s="9" t="n">
        <v>3000</v>
      </c>
      <c r="F10" s="10" t="n">
        <f aca="false">C10*E10</f>
        <v>0</v>
      </c>
      <c r="G10" s="10" t="n">
        <f aca="false">F10/1000</f>
        <v>0</v>
      </c>
      <c r="H10" s="3" t="s">
        <v>48</v>
      </c>
    </row>
    <row r="11" customFormat="false" ht="25.5" hidden="false" customHeight="true" outlineLevel="0" collapsed="false">
      <c r="A11" s="8" t="s">
        <v>49</v>
      </c>
      <c r="B11" s="8" t="s">
        <v>44</v>
      </c>
      <c r="C11" s="8" t="n">
        <v>0.2</v>
      </c>
      <c r="D11" s="8" t="s">
        <v>37</v>
      </c>
      <c r="E11" s="9" t="n">
        <v>700</v>
      </c>
      <c r="F11" s="10" t="n">
        <f aca="false">C11*E11</f>
        <v>140</v>
      </c>
      <c r="G11" s="10" t="n">
        <f aca="false">F11/1000</f>
        <v>0.14</v>
      </c>
      <c r="H11" s="3" t="s">
        <v>50</v>
      </c>
    </row>
    <row r="12" customFormat="false" ht="15" hidden="false" customHeight="false" outlineLevel="0" collapsed="false">
      <c r="A12" s="6" t="s">
        <v>51</v>
      </c>
      <c r="B12" s="7"/>
      <c r="C12" s="7"/>
      <c r="D12" s="7"/>
      <c r="E12" s="7"/>
      <c r="F12" s="7"/>
      <c r="G12" s="7"/>
      <c r="H12" s="7"/>
    </row>
    <row r="13" customFormat="false" ht="25.5" hidden="false" customHeight="true" outlineLevel="0" collapsed="false">
      <c r="A13" s="8" t="s">
        <v>52</v>
      </c>
      <c r="B13" s="8" t="s">
        <v>53</v>
      </c>
      <c r="C13" s="8" t="n">
        <v>0.08</v>
      </c>
      <c r="D13" s="8" t="s">
        <v>37</v>
      </c>
      <c r="E13" s="9" t="n">
        <v>2000</v>
      </c>
      <c r="F13" s="10" t="n">
        <f aca="false">C13*E13</f>
        <v>160</v>
      </c>
      <c r="G13" s="10" t="n">
        <f aca="false">F13/1000</f>
        <v>0.16</v>
      </c>
      <c r="H13" s="3" t="s">
        <v>54</v>
      </c>
    </row>
    <row r="14" customFormat="false" ht="25.5" hidden="false" customHeight="true" outlineLevel="0" collapsed="false">
      <c r="A14" s="8" t="s">
        <v>55</v>
      </c>
      <c r="B14" s="8" t="s">
        <v>56</v>
      </c>
      <c r="C14" s="8" t="n">
        <v>0.02</v>
      </c>
      <c r="D14" s="8" t="s">
        <v>37</v>
      </c>
      <c r="E14" s="9" t="n">
        <v>1200</v>
      </c>
      <c r="F14" s="10" t="n">
        <f aca="false">C14*E14</f>
        <v>24</v>
      </c>
      <c r="G14" s="10" t="n">
        <f aca="false">F14/1000</f>
        <v>0.024</v>
      </c>
      <c r="H14" s="3" t="s">
        <v>57</v>
      </c>
    </row>
    <row r="15" customFormat="false" ht="25.5" hidden="false" customHeight="true" outlineLevel="0" collapsed="false">
      <c r="A15" s="8" t="s">
        <v>58</v>
      </c>
      <c r="B15" s="8" t="s">
        <v>44</v>
      </c>
      <c r="C15" s="8" t="n">
        <v>0.02</v>
      </c>
      <c r="D15" s="8" t="s">
        <v>37</v>
      </c>
      <c r="E15" s="9" t="n">
        <v>1300</v>
      </c>
      <c r="F15" s="10" t="n">
        <f aca="false">C15*E15</f>
        <v>26</v>
      </c>
      <c r="G15" s="10" t="n">
        <f aca="false">F15/1000</f>
        <v>0.026</v>
      </c>
      <c r="H15" s="3" t="s">
        <v>59</v>
      </c>
    </row>
    <row r="16" customFormat="false" ht="25.5" hidden="false" customHeight="true" outlineLevel="0" collapsed="false">
      <c r="A16" s="8" t="s">
        <v>60</v>
      </c>
      <c r="B16" s="8" t="s">
        <v>61</v>
      </c>
      <c r="C16" s="8" t="n">
        <v>0.002</v>
      </c>
      <c r="D16" s="8" t="s">
        <v>37</v>
      </c>
      <c r="E16" s="9" t="n">
        <v>500</v>
      </c>
      <c r="F16" s="10" t="n">
        <f aca="false">C16*E16</f>
        <v>1</v>
      </c>
      <c r="G16" s="10" t="n">
        <f aca="false">F16/1000</f>
        <v>0.001</v>
      </c>
      <c r="H16" s="3" t="s">
        <v>62</v>
      </c>
    </row>
    <row r="17" customFormat="false" ht="15" hidden="false" customHeight="false" outlineLevel="0" collapsed="false">
      <c r="A17" s="6" t="s">
        <v>63</v>
      </c>
      <c r="B17" s="7"/>
      <c r="C17" s="7"/>
      <c r="D17" s="7"/>
      <c r="E17" s="7"/>
      <c r="F17" s="7"/>
      <c r="G17" s="7"/>
      <c r="H17" s="7"/>
    </row>
    <row r="18" customFormat="false" ht="25.5" hidden="false" customHeight="true" outlineLevel="0" collapsed="false">
      <c r="A18" s="8" t="s">
        <v>64</v>
      </c>
      <c r="B18" s="8" t="s">
        <v>65</v>
      </c>
      <c r="C18" s="8" t="n">
        <v>0.8</v>
      </c>
      <c r="D18" s="8" t="s">
        <v>37</v>
      </c>
      <c r="E18" s="9" t="n">
        <v>115</v>
      </c>
      <c r="F18" s="10" t="n">
        <f aca="false">C18*E18</f>
        <v>92</v>
      </c>
      <c r="G18" s="10" t="n">
        <f aca="false">F18/1000</f>
        <v>0.092</v>
      </c>
      <c r="H18" s="3" t="s">
        <v>66</v>
      </c>
    </row>
    <row r="19" customFormat="false" ht="25.5" hidden="false" customHeight="true" outlineLevel="0" collapsed="false">
      <c r="A19" s="8" t="s">
        <v>67</v>
      </c>
      <c r="B19" s="8" t="s">
        <v>68</v>
      </c>
      <c r="C19" s="8" t="n">
        <v>0.3</v>
      </c>
      <c r="D19" s="8" t="s">
        <v>37</v>
      </c>
      <c r="E19" s="9" t="n">
        <v>99</v>
      </c>
      <c r="F19" s="10" t="n">
        <f aca="false">C19*E19</f>
        <v>29.7</v>
      </c>
      <c r="G19" s="10" t="n">
        <f aca="false">F19/1000</f>
        <v>0.0297</v>
      </c>
      <c r="H19" s="3" t="s">
        <v>69</v>
      </c>
    </row>
    <row r="20" customFormat="false" ht="15" hidden="false" customHeight="false" outlineLevel="0" collapsed="false">
      <c r="A20" s="6" t="s">
        <v>70</v>
      </c>
      <c r="B20" s="7"/>
      <c r="C20" s="7"/>
      <c r="D20" s="7"/>
      <c r="E20" s="7"/>
      <c r="F20" s="7"/>
      <c r="G20" s="7"/>
      <c r="H20" s="7"/>
    </row>
    <row r="21" customFormat="false" ht="25.5" hidden="false" customHeight="true" outlineLevel="0" collapsed="false">
      <c r="A21" s="8" t="s">
        <v>71</v>
      </c>
      <c r="B21" s="8" t="s">
        <v>72</v>
      </c>
      <c r="C21" s="8" t="n">
        <v>1</v>
      </c>
      <c r="D21" s="8" t="s">
        <v>37</v>
      </c>
      <c r="E21" s="9" t="n">
        <v>900</v>
      </c>
      <c r="F21" s="10" t="n">
        <f aca="false">C21*E21</f>
        <v>900</v>
      </c>
      <c r="G21" s="10" t="n">
        <f aca="false">F21/1000</f>
        <v>0.9</v>
      </c>
      <c r="H21" s="3" t="s">
        <v>73</v>
      </c>
    </row>
    <row r="22" customFormat="false" ht="25.5" hidden="false" customHeight="true" outlineLevel="0" collapsed="false">
      <c r="A22" s="8" t="s">
        <v>74</v>
      </c>
      <c r="B22" s="8" t="s">
        <v>75</v>
      </c>
      <c r="C22" s="8" t="n">
        <v>0.5</v>
      </c>
      <c r="D22" s="8" t="s">
        <v>37</v>
      </c>
      <c r="E22" s="9" t="n">
        <v>250</v>
      </c>
      <c r="F22" s="10" t="n">
        <f aca="false">C22*E22</f>
        <v>125</v>
      </c>
      <c r="G22" s="10" t="n">
        <f aca="false">F22/1000</f>
        <v>0.125</v>
      </c>
      <c r="H22" s="3" t="s">
        <v>76</v>
      </c>
    </row>
    <row r="23" customFormat="false" ht="25.5" hidden="false" customHeight="true" outlineLevel="0" collapsed="false">
      <c r="A23" s="8" t="s">
        <v>77</v>
      </c>
      <c r="B23" s="8" t="s">
        <v>78</v>
      </c>
      <c r="C23" s="8" t="n">
        <v>0.15</v>
      </c>
      <c r="D23" s="8" t="s">
        <v>37</v>
      </c>
      <c r="E23" s="9" t="n">
        <v>299</v>
      </c>
      <c r="F23" s="10" t="n">
        <f aca="false">C23*E23</f>
        <v>44.85</v>
      </c>
      <c r="G23" s="10" t="n">
        <f aca="false">F23/1000</f>
        <v>0.04485</v>
      </c>
      <c r="H23" s="3" t="s">
        <v>79</v>
      </c>
    </row>
    <row r="24" customFormat="false" ht="25.5" hidden="false" customHeight="true" outlineLevel="0" collapsed="false">
      <c r="A24" s="8" t="s">
        <v>80</v>
      </c>
      <c r="B24" s="8" t="s">
        <v>78</v>
      </c>
      <c r="C24" s="8" t="n">
        <v>0.2</v>
      </c>
      <c r="D24" s="8" t="s">
        <v>37</v>
      </c>
      <c r="E24" s="9" t="n">
        <v>350</v>
      </c>
      <c r="F24" s="10" t="n">
        <f aca="false">C24*E24</f>
        <v>70</v>
      </c>
      <c r="G24" s="10" t="n">
        <f aca="false">F24/1000</f>
        <v>0.07</v>
      </c>
      <c r="H24" s="3" t="s">
        <v>81</v>
      </c>
    </row>
    <row r="25" customFormat="false" ht="25.5" hidden="false" customHeight="true" outlineLevel="0" collapsed="false">
      <c r="A25" s="8" t="s">
        <v>82</v>
      </c>
      <c r="B25" s="8" t="s">
        <v>83</v>
      </c>
      <c r="C25" s="8" t="n">
        <v>5</v>
      </c>
      <c r="D25" s="8" t="s">
        <v>37</v>
      </c>
      <c r="E25" s="9" t="n">
        <v>34</v>
      </c>
      <c r="F25" s="10" t="n">
        <f aca="false">C25*E25</f>
        <v>170</v>
      </c>
      <c r="G25" s="10" t="n">
        <f aca="false">F25/1000</f>
        <v>0.17</v>
      </c>
      <c r="H25" s="3" t="s">
        <v>84</v>
      </c>
    </row>
    <row r="26" customFormat="false" ht="25.5" hidden="false" customHeight="true" outlineLevel="0" collapsed="false">
      <c r="A26" s="8" t="s">
        <v>85</v>
      </c>
      <c r="B26" s="8" t="s">
        <v>86</v>
      </c>
      <c r="C26" s="8" t="n">
        <v>1000</v>
      </c>
      <c r="D26" s="8" t="s">
        <v>87</v>
      </c>
      <c r="E26" s="9" t="n">
        <v>0.15</v>
      </c>
      <c r="F26" s="10" t="n">
        <f aca="false">C26*E26</f>
        <v>150</v>
      </c>
      <c r="G26" s="10" t="n">
        <f aca="false">F26/1000</f>
        <v>0.15</v>
      </c>
      <c r="H26" s="3" t="s">
        <v>88</v>
      </c>
    </row>
    <row r="27" customFormat="false" ht="15" hidden="false" customHeight="false" outlineLevel="0" collapsed="false">
      <c r="A27" s="11" t="s">
        <v>89</v>
      </c>
      <c r="B27" s="12"/>
      <c r="C27" s="12"/>
      <c r="D27" s="12"/>
      <c r="E27" s="12"/>
      <c r="F27" s="13" t="n">
        <f aca="false">SUM(F5:F26)</f>
        <v>9136.35</v>
      </c>
      <c r="G27" s="13" t="n">
        <f aca="false">F27/1000</f>
        <v>9.13635</v>
      </c>
      <c r="H27" s="12"/>
    </row>
    <row r="29" customFormat="false" ht="24.05" hidden="false" customHeight="true" outlineLevel="0" collapsed="false">
      <c r="A29" s="5" t="s">
        <v>90</v>
      </c>
      <c r="B29" s="5"/>
      <c r="C29" s="5"/>
      <c r="D29" s="5"/>
      <c r="E29" s="5"/>
      <c r="F29" s="5"/>
    </row>
    <row r="30" customFormat="false" ht="24.05" hidden="false" customHeight="true" outlineLevel="0" collapsed="false">
      <c r="A30" s="5" t="s">
        <v>91</v>
      </c>
      <c r="B30" s="5"/>
      <c r="C30" s="5"/>
      <c r="D30" s="5"/>
      <c r="E30" s="5"/>
      <c r="F30" s="5"/>
    </row>
    <row r="32" customFormat="false" ht="15" hidden="false" customHeight="false" outlineLevel="0" collapsed="false">
      <c r="A32" s="14" t="s">
        <v>92</v>
      </c>
      <c r="C32" s="15" t="n">
        <f aca="false">G27*0.33</f>
        <v>3.0149955</v>
      </c>
    </row>
    <row r="33" customFormat="false" ht="15" hidden="false" customHeight="false" outlineLevel="0" collapsed="false">
      <c r="A33" s="14" t="s">
        <v>93</v>
      </c>
      <c r="C33" s="15" t="n">
        <f aca="false">G27*0.5</f>
        <v>4.568175</v>
      </c>
    </row>
  </sheetData>
  <mergeCells count="4">
    <mergeCell ref="A1:H1"/>
    <mergeCell ref="A2:F2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60"/>
    <col collapsed="false" customWidth="true" hidden="false" outlineLevel="0" max="7" min="5" style="0" width="5"/>
  </cols>
  <sheetData>
    <row r="1" customFormat="false" ht="16.15" hidden="false" customHeight="false" outlineLevel="0" collapsed="false">
      <c r="A1" s="4" t="s">
        <v>94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95</v>
      </c>
      <c r="B2" s="5"/>
      <c r="C2" s="5"/>
      <c r="D2" s="5"/>
      <c r="E2" s="5"/>
      <c r="F2" s="5"/>
    </row>
    <row r="4" customFormat="false" ht="30" hidden="false" customHeight="true" outlineLevel="0" collapsed="false">
      <c r="A4" s="1" t="s">
        <v>96</v>
      </c>
      <c r="B4" s="1" t="s">
        <v>29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101</v>
      </c>
    </row>
    <row r="5" customFormat="false" ht="24" hidden="false" customHeight="true" outlineLevel="0" collapsed="false">
      <c r="A5" s="8" t="s">
        <v>102</v>
      </c>
      <c r="B5" s="8" t="s">
        <v>103</v>
      </c>
      <c r="C5" s="9" t="n">
        <f aca="false">'1. Рецептура'!G27*1000</f>
        <v>9136.35</v>
      </c>
      <c r="D5" s="10" t="n">
        <f aca="false">C5/1000</f>
        <v>9.13635</v>
      </c>
      <c r="E5" s="10" t="n">
        <f aca="false">C5/1000*0.33</f>
        <v>3.0149955</v>
      </c>
      <c r="F5" s="3" t="s">
        <v>104</v>
      </c>
    </row>
    <row r="6" customFormat="false" ht="24" hidden="false" customHeight="true" outlineLevel="0" collapsed="false">
      <c r="A6" s="8" t="s">
        <v>105</v>
      </c>
      <c r="B6" s="8" t="s">
        <v>106</v>
      </c>
      <c r="C6" s="9" t="n">
        <f aca="false">SUM(C5)*G6</f>
        <v>274.0905</v>
      </c>
      <c r="D6" s="10" t="n">
        <f aca="false">C6/1000</f>
        <v>0.2740905</v>
      </c>
      <c r="E6" s="10" t="n">
        <f aca="false">C6/1000*0.33</f>
        <v>0.090449865</v>
      </c>
      <c r="F6" s="3" t="s">
        <v>107</v>
      </c>
      <c r="G6" s="16" t="n">
        <v>0.03</v>
      </c>
    </row>
    <row r="7" customFormat="false" ht="24" hidden="false" customHeight="true" outlineLevel="0" collapsed="false">
      <c r="A7" s="8" t="s">
        <v>108</v>
      </c>
      <c r="B7" s="8" t="s">
        <v>103</v>
      </c>
      <c r="C7" s="9" t="n">
        <v>120</v>
      </c>
      <c r="D7" s="10" t="n">
        <f aca="false">C7/1000</f>
        <v>0.12</v>
      </c>
      <c r="E7" s="10" t="n">
        <f aca="false">C7/1000*0.33</f>
        <v>0.0396</v>
      </c>
      <c r="F7" s="3" t="s">
        <v>109</v>
      </c>
    </row>
    <row r="8" customFormat="false" ht="24" hidden="false" customHeight="true" outlineLevel="0" collapsed="false">
      <c r="A8" s="8" t="s">
        <v>110</v>
      </c>
      <c r="B8" s="8" t="s">
        <v>103</v>
      </c>
      <c r="C8" s="9" t="n">
        <v>25755</v>
      </c>
      <c r="D8" s="10" t="n">
        <f aca="false">C8/1000</f>
        <v>25.755</v>
      </c>
      <c r="E8" s="10" t="n">
        <f aca="false">C8/1000*0.33</f>
        <v>8.49915</v>
      </c>
      <c r="F8" s="3" t="s">
        <v>111</v>
      </c>
    </row>
    <row r="9" customFormat="false" ht="24" hidden="false" customHeight="true" outlineLevel="0" collapsed="false">
      <c r="A9" s="8" t="s">
        <v>112</v>
      </c>
      <c r="B9" s="8" t="s">
        <v>103</v>
      </c>
      <c r="C9" s="9" t="n">
        <v>4545</v>
      </c>
      <c r="D9" s="10" t="n">
        <f aca="false">C9/1000</f>
        <v>4.545</v>
      </c>
      <c r="E9" s="10" t="n">
        <f aca="false">C9/1000*0.33</f>
        <v>1.49985</v>
      </c>
      <c r="F9" s="3" t="s">
        <v>113</v>
      </c>
    </row>
    <row r="10" customFormat="false" ht="24" hidden="false" customHeight="true" outlineLevel="0" collapsed="false">
      <c r="A10" s="8" t="s">
        <v>114</v>
      </c>
      <c r="B10" s="8" t="s">
        <v>103</v>
      </c>
      <c r="C10" s="9" t="n">
        <v>2424</v>
      </c>
      <c r="D10" s="10" t="n">
        <f aca="false">C10/1000</f>
        <v>2.424</v>
      </c>
      <c r="E10" s="10" t="n">
        <f aca="false">C10/1000*0.33</f>
        <v>0.79992</v>
      </c>
      <c r="F10" s="3" t="s">
        <v>115</v>
      </c>
    </row>
    <row r="11" customFormat="false" ht="24" hidden="false" customHeight="true" outlineLevel="0" collapsed="false">
      <c r="A11" s="8" t="s">
        <v>116</v>
      </c>
      <c r="B11" s="8" t="s">
        <v>103</v>
      </c>
      <c r="C11" s="9" t="n">
        <v>1818</v>
      </c>
      <c r="D11" s="10" t="n">
        <f aca="false">C11/1000</f>
        <v>1.818</v>
      </c>
      <c r="E11" s="10" t="n">
        <f aca="false">C11/1000*0.33</f>
        <v>0.59994</v>
      </c>
      <c r="F11" s="3" t="s">
        <v>117</v>
      </c>
    </row>
    <row r="12" customFormat="false" ht="24" hidden="false" customHeight="true" outlineLevel="0" collapsed="false">
      <c r="A12" s="8" t="s">
        <v>118</v>
      </c>
      <c r="B12" s="8" t="s">
        <v>103</v>
      </c>
      <c r="C12" s="9" t="n">
        <v>4000</v>
      </c>
      <c r="D12" s="10" t="n">
        <f aca="false">C12/1000</f>
        <v>4</v>
      </c>
      <c r="E12" s="10" t="n">
        <f aca="false">C12/1000*0.33</f>
        <v>1.32</v>
      </c>
      <c r="F12" s="3" t="s">
        <v>119</v>
      </c>
    </row>
    <row r="13" customFormat="false" ht="24" hidden="false" customHeight="true" outlineLevel="0" collapsed="false">
      <c r="A13" s="8" t="s">
        <v>120</v>
      </c>
      <c r="B13" s="8" t="s">
        <v>103</v>
      </c>
      <c r="C13" s="9" t="n">
        <v>0</v>
      </c>
      <c r="D13" s="10" t="n">
        <f aca="false">C13/1000</f>
        <v>0</v>
      </c>
      <c r="E13" s="10" t="n">
        <f aca="false">C13/1000*0.33</f>
        <v>0</v>
      </c>
      <c r="F13" s="3" t="s">
        <v>121</v>
      </c>
    </row>
    <row r="14" customFormat="false" ht="24" hidden="false" customHeight="true" outlineLevel="0" collapsed="false">
      <c r="A14" s="8" t="s">
        <v>122</v>
      </c>
      <c r="B14" s="8" t="s">
        <v>103</v>
      </c>
      <c r="C14" s="9" t="n">
        <v>0</v>
      </c>
      <c r="D14" s="10" t="n">
        <f aca="false">C14/1000</f>
        <v>0</v>
      </c>
      <c r="E14" s="10" t="n">
        <f aca="false">C14/1000*0.33</f>
        <v>0</v>
      </c>
      <c r="F14" s="3" t="s">
        <v>123</v>
      </c>
    </row>
    <row r="15" customFormat="false" ht="24" hidden="false" customHeight="true" outlineLevel="0" collapsed="false">
      <c r="A15" s="8" t="s">
        <v>124</v>
      </c>
      <c r="B15" s="8" t="s">
        <v>103</v>
      </c>
      <c r="C15" s="9" t="n">
        <v>3500</v>
      </c>
      <c r="D15" s="10" t="n">
        <f aca="false">C15/1000</f>
        <v>3.5</v>
      </c>
      <c r="E15" s="10" t="n">
        <f aca="false">C15/1000*0.33</f>
        <v>1.155</v>
      </c>
      <c r="F15" s="3" t="s">
        <v>125</v>
      </c>
    </row>
    <row r="16" customFormat="false" ht="24" hidden="false" customHeight="true" outlineLevel="0" collapsed="false">
      <c r="A16" s="8" t="s">
        <v>126</v>
      </c>
      <c r="B16" s="8" t="s">
        <v>103</v>
      </c>
      <c r="C16" s="9" t="n">
        <v>3000</v>
      </c>
      <c r="D16" s="10" t="n">
        <f aca="false">C16/1000</f>
        <v>3</v>
      </c>
      <c r="E16" s="10" t="n">
        <f aca="false">C16/1000*0.33</f>
        <v>0.99</v>
      </c>
      <c r="F16" s="3" t="s">
        <v>127</v>
      </c>
    </row>
    <row r="17" customFormat="false" ht="24" hidden="false" customHeight="true" outlineLevel="0" collapsed="false">
      <c r="A17" s="8" t="s">
        <v>128</v>
      </c>
      <c r="B17" s="8" t="s">
        <v>106</v>
      </c>
      <c r="C17" s="9" t="n">
        <f aca="false">SUM(C5:C16)*G17</f>
        <v>818.5866075</v>
      </c>
      <c r="D17" s="10" t="n">
        <f aca="false">C17/1000</f>
        <v>0.8185866075</v>
      </c>
      <c r="E17" s="10" t="n">
        <f aca="false">C17/1000*0.33</f>
        <v>0.270133580475</v>
      </c>
      <c r="F17" s="3" t="s">
        <v>129</v>
      </c>
      <c r="G17" s="16" t="n">
        <v>0.015</v>
      </c>
    </row>
    <row r="18" customFormat="false" ht="15" hidden="false" customHeight="false" outlineLevel="0" collapsed="false">
      <c r="A18" s="11" t="s">
        <v>130</v>
      </c>
      <c r="B18" s="12"/>
      <c r="C18" s="13" t="n">
        <f aca="false">SUM(C5:C17)</f>
        <v>55391.0271075</v>
      </c>
      <c r="D18" s="13" t="n">
        <f aca="false">C18/1000</f>
        <v>55.3910271075</v>
      </c>
      <c r="E18" s="13" t="n">
        <f aca="false">C18/1000*0.33</f>
        <v>18.279038945475</v>
      </c>
      <c r="F18" s="12"/>
      <c r="G18" s="12"/>
    </row>
    <row r="20" customFormat="false" ht="24.05" hidden="false" customHeight="true" outlineLevel="0" collapsed="false">
      <c r="A20" s="5" t="s">
        <v>131</v>
      </c>
      <c r="B20" s="5"/>
      <c r="C20" s="5"/>
      <c r="D20" s="5"/>
      <c r="E20" s="5"/>
      <c r="F20" s="5"/>
    </row>
    <row r="21" customFormat="false" ht="35.5" hidden="false" customHeight="true" outlineLevel="0" collapsed="false">
      <c r="A21" s="5" t="s">
        <v>132</v>
      </c>
      <c r="B21" s="5"/>
      <c r="C21" s="5"/>
      <c r="D21" s="5"/>
      <c r="E21" s="5"/>
      <c r="F21" s="5"/>
    </row>
    <row r="23" customFormat="false" ht="16.15" hidden="false" customHeight="false" outlineLevel="0" collapsed="false">
      <c r="A23" s="4" t="s">
        <v>133</v>
      </c>
      <c r="B23" s="4"/>
      <c r="C23" s="4"/>
      <c r="D23" s="4"/>
      <c r="E23" s="4"/>
      <c r="F23" s="4"/>
      <c r="G23" s="4"/>
    </row>
    <row r="24" customFormat="false" ht="30" hidden="false" customHeight="true" outlineLevel="0" collapsed="false">
      <c r="A24" s="1" t="s">
        <v>134</v>
      </c>
      <c r="B24" s="1" t="s">
        <v>135</v>
      </c>
      <c r="C24" s="1" t="s">
        <v>136</v>
      </c>
      <c r="D24" s="1" t="s">
        <v>100</v>
      </c>
      <c r="E24" s="1"/>
      <c r="F24" s="1"/>
      <c r="G24" s="1"/>
    </row>
    <row r="25" customFormat="false" ht="25.5" hidden="false" customHeight="true" outlineLevel="0" collapsed="false">
      <c r="A25" s="8" t="s">
        <v>137</v>
      </c>
      <c r="B25" s="9" t="n">
        <v>8.5</v>
      </c>
      <c r="C25" s="9" t="n">
        <v>4.68</v>
      </c>
      <c r="D25" s="3" t="s">
        <v>138</v>
      </c>
    </row>
    <row r="26" customFormat="false" ht="25.5" hidden="false" customHeight="true" outlineLevel="0" collapsed="false">
      <c r="A26" s="8" t="s">
        <v>139</v>
      </c>
      <c r="B26" s="9" t="n">
        <v>0</v>
      </c>
      <c r="C26" s="9" t="n">
        <v>0.6</v>
      </c>
      <c r="D26" s="3" t="s">
        <v>140</v>
      </c>
    </row>
    <row r="27" customFormat="false" ht="25.5" hidden="false" customHeight="true" outlineLevel="0" collapsed="false">
      <c r="A27" s="8" t="s">
        <v>141</v>
      </c>
      <c r="B27" s="9" t="n">
        <v>0.6</v>
      </c>
      <c r="C27" s="9" t="n">
        <v>0.17</v>
      </c>
      <c r="D27" s="3" t="s">
        <v>142</v>
      </c>
    </row>
    <row r="28" customFormat="false" ht="25.5" hidden="false" customHeight="true" outlineLevel="0" collapsed="false">
      <c r="A28" s="8" t="s">
        <v>143</v>
      </c>
      <c r="B28" s="10" t="n">
        <f aca="false">B25+B26+B27</f>
        <v>9.1</v>
      </c>
      <c r="C28" s="10" t="n">
        <f aca="false">C25+C26+C27</f>
        <v>5.45</v>
      </c>
      <c r="D28" s="3" t="s">
        <v>144</v>
      </c>
    </row>
    <row r="29" customFormat="false" ht="25.5" hidden="false" customHeight="true" outlineLevel="0" collapsed="false">
      <c r="A29" s="8" t="s">
        <v>145</v>
      </c>
      <c r="B29" s="9" t="n">
        <v>0.33</v>
      </c>
      <c r="C29" s="9" t="n">
        <v>0.5</v>
      </c>
      <c r="D29" s="3"/>
    </row>
    <row r="30" customFormat="false" ht="25.5" hidden="false" customHeight="true" outlineLevel="0" collapsed="false">
      <c r="A30" s="8" t="s">
        <v>146</v>
      </c>
      <c r="B30" s="17" t="n">
        <f aca="false">B28/B29</f>
        <v>27.5757575757576</v>
      </c>
      <c r="C30" s="10" t="n">
        <f aca="false">C28/C29</f>
        <v>10.9</v>
      </c>
      <c r="D30" s="3" t="s">
        <v>147</v>
      </c>
    </row>
    <row r="31" customFormat="false" ht="25.5" hidden="false" customHeight="true" outlineLevel="0" collapsed="false">
      <c r="A31" s="8" t="s">
        <v>148</v>
      </c>
      <c r="B31" s="17" t="n">
        <f aca="false">B30*1000</f>
        <v>27575.7575757576</v>
      </c>
      <c r="C31" s="10" t="n">
        <f aca="false">C30*1000</f>
        <v>10900</v>
      </c>
      <c r="D31" s="3" t="s">
        <v>149</v>
      </c>
    </row>
    <row r="33" customFormat="false" ht="24.05" hidden="false" customHeight="true" outlineLevel="0" collapsed="false">
      <c r="A33" s="5" t="s">
        <v>150</v>
      </c>
      <c r="B33" s="5"/>
      <c r="C33" s="5"/>
      <c r="D33" s="5"/>
      <c r="E33" s="5"/>
      <c r="F33" s="5"/>
    </row>
  </sheetData>
  <mergeCells count="6">
    <mergeCell ref="A1:F1"/>
    <mergeCell ref="A2:F2"/>
    <mergeCell ref="A20:F20"/>
    <mergeCell ref="A21:F21"/>
    <mergeCell ref="A23:G23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4" t="s">
        <v>151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152</v>
      </c>
      <c r="B2" s="5"/>
      <c r="C2" s="5"/>
      <c r="D2" s="5"/>
      <c r="E2" s="5"/>
      <c r="F2" s="5"/>
    </row>
    <row r="4" customFormat="false" ht="30" hidden="false" customHeight="true" outlineLevel="0" collapsed="false">
      <c r="A4" s="1" t="s">
        <v>153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159</v>
      </c>
      <c r="H4" s="1" t="s">
        <v>33</v>
      </c>
    </row>
    <row r="5" customFormat="false" ht="30" hidden="false" customHeight="true" outlineLevel="0" collapsed="false">
      <c r="A5" s="3" t="s">
        <v>160</v>
      </c>
      <c r="B5" s="3"/>
      <c r="C5" s="3"/>
      <c r="D5" s="3"/>
      <c r="E5" s="3"/>
      <c r="F5" s="3"/>
      <c r="G5" s="3"/>
      <c r="H5" s="3"/>
    </row>
    <row r="6" customFormat="false" ht="30" hidden="false" customHeight="true" outlineLevel="0" collapsed="false">
      <c r="A6" s="3" t="s">
        <v>161</v>
      </c>
      <c r="B6" s="3" t="s">
        <v>162</v>
      </c>
      <c r="C6" s="3" t="s">
        <v>163</v>
      </c>
      <c r="D6" s="3" t="s">
        <v>164</v>
      </c>
      <c r="E6" s="3" t="s">
        <v>165</v>
      </c>
      <c r="F6" s="3" t="s">
        <v>166</v>
      </c>
      <c r="G6" s="3" t="s">
        <v>167</v>
      </c>
      <c r="H6" s="3" t="s">
        <v>168</v>
      </c>
    </row>
    <row r="7" customFormat="false" ht="30" hidden="false" customHeight="true" outlineLevel="0" collapsed="false">
      <c r="A7" s="3" t="s">
        <v>169</v>
      </c>
      <c r="B7" s="3" t="s">
        <v>170</v>
      </c>
      <c r="C7" s="3" t="s">
        <v>171</v>
      </c>
      <c r="D7" s="3" t="s">
        <v>172</v>
      </c>
      <c r="E7" s="3" t="s">
        <v>173</v>
      </c>
      <c r="F7" s="3" t="s">
        <v>174</v>
      </c>
      <c r="G7" s="3" t="s">
        <v>175</v>
      </c>
      <c r="H7" s="3" t="s">
        <v>176</v>
      </c>
    </row>
    <row r="8" customFormat="false" ht="30" hidden="false" customHeight="true" outlineLevel="0" collapsed="false">
      <c r="A8" s="3" t="s">
        <v>177</v>
      </c>
      <c r="B8" s="3" t="s">
        <v>178</v>
      </c>
      <c r="C8" s="3" t="s">
        <v>179</v>
      </c>
      <c r="D8" s="3" t="s">
        <v>180</v>
      </c>
      <c r="E8" s="3" t="s">
        <v>181</v>
      </c>
      <c r="F8" s="3" t="s">
        <v>182</v>
      </c>
      <c r="G8" s="3" t="s">
        <v>167</v>
      </c>
      <c r="H8" s="3" t="s">
        <v>183</v>
      </c>
    </row>
    <row r="9" customFormat="false" ht="30" hidden="false" customHeight="true" outlineLevel="0" collapsed="false">
      <c r="A9" s="3" t="s">
        <v>184</v>
      </c>
      <c r="B9" s="3" t="s">
        <v>185</v>
      </c>
      <c r="C9" s="3" t="s">
        <v>186</v>
      </c>
      <c r="D9" s="3" t="s">
        <v>187</v>
      </c>
      <c r="E9" s="3" t="s">
        <v>188</v>
      </c>
      <c r="F9" s="3" t="s">
        <v>189</v>
      </c>
      <c r="G9" s="3" t="s">
        <v>190</v>
      </c>
      <c r="H9" s="3" t="s">
        <v>191</v>
      </c>
    </row>
    <row r="10" customFormat="false" ht="30" hidden="false" customHeight="true" outlineLevel="0" collapsed="false">
      <c r="A10" s="3" t="s">
        <v>192</v>
      </c>
      <c r="B10" s="3" t="s">
        <v>193</v>
      </c>
      <c r="C10" s="3" t="s">
        <v>194</v>
      </c>
      <c r="D10" s="3" t="s">
        <v>194</v>
      </c>
      <c r="E10" s="3" t="s">
        <v>195</v>
      </c>
      <c r="F10" s="3" t="s">
        <v>196</v>
      </c>
      <c r="G10" s="3" t="s">
        <v>194</v>
      </c>
      <c r="H10" s="3" t="s">
        <v>197</v>
      </c>
    </row>
    <row r="11" customFormat="false" ht="30" hidden="false" customHeight="true" outlineLevel="0" collapsed="false">
      <c r="A11" s="3" t="s">
        <v>43</v>
      </c>
      <c r="B11" s="3" t="s">
        <v>198</v>
      </c>
      <c r="C11" s="3" t="s">
        <v>179</v>
      </c>
      <c r="D11" s="3" t="s">
        <v>180</v>
      </c>
      <c r="E11" s="3" t="s">
        <v>181</v>
      </c>
      <c r="F11" s="3" t="s">
        <v>199</v>
      </c>
      <c r="G11" s="3" t="s">
        <v>167</v>
      </c>
      <c r="H11" s="3" t="s">
        <v>200</v>
      </c>
    </row>
    <row r="12" customFormat="false" ht="30" hidden="false" customHeight="true" outlineLevel="0" collapsed="false">
      <c r="A12" s="3" t="s">
        <v>201</v>
      </c>
      <c r="B12" s="3" t="s">
        <v>185</v>
      </c>
      <c r="C12" s="3" t="s">
        <v>186</v>
      </c>
      <c r="D12" s="3" t="s">
        <v>187</v>
      </c>
      <c r="E12" s="3" t="s">
        <v>202</v>
      </c>
      <c r="F12" s="3" t="s">
        <v>189</v>
      </c>
      <c r="G12" s="3" t="s">
        <v>190</v>
      </c>
      <c r="H12" s="3" t="s">
        <v>203</v>
      </c>
    </row>
    <row r="13" customFormat="false" ht="30" hidden="false" customHeight="true" outlineLevel="0" collapsed="false">
      <c r="A13" s="3" t="s">
        <v>204</v>
      </c>
      <c r="B13" s="3" t="s">
        <v>205</v>
      </c>
      <c r="C13" s="3" t="s">
        <v>186</v>
      </c>
      <c r="D13" s="3" t="s">
        <v>206</v>
      </c>
      <c r="E13" s="3" t="s">
        <v>207</v>
      </c>
      <c r="F13" s="3" t="s">
        <v>189</v>
      </c>
      <c r="G13" s="3" t="s">
        <v>208</v>
      </c>
      <c r="H13" s="3" t="s">
        <v>209</v>
      </c>
    </row>
    <row r="14" customFormat="false" ht="30" hidden="false" customHeight="true" outlineLevel="0" collapsed="false">
      <c r="A14" s="3" t="s">
        <v>49</v>
      </c>
      <c r="B14" s="3" t="s">
        <v>210</v>
      </c>
      <c r="C14" s="3" t="s">
        <v>211</v>
      </c>
      <c r="D14" s="3" t="s">
        <v>212</v>
      </c>
      <c r="E14" s="3" t="s">
        <v>213</v>
      </c>
      <c r="F14" s="3" t="s">
        <v>214</v>
      </c>
      <c r="G14" s="3" t="s">
        <v>215</v>
      </c>
      <c r="H14" s="3" t="s">
        <v>216</v>
      </c>
    </row>
    <row r="15" customFormat="false" ht="30" hidden="false" customHeight="true" outlineLevel="0" collapsed="false">
      <c r="A15" s="3" t="s">
        <v>217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222</v>
      </c>
      <c r="G15" s="3" t="s">
        <v>167</v>
      </c>
      <c r="H15" s="3" t="s">
        <v>223</v>
      </c>
    </row>
    <row r="16" customFormat="false" ht="30" hidden="false" customHeight="true" outlineLevel="0" collapsed="false">
      <c r="A16" s="3" t="s">
        <v>224</v>
      </c>
      <c r="B16" s="3" t="s">
        <v>225</v>
      </c>
      <c r="C16" s="3" t="s">
        <v>179</v>
      </c>
      <c r="D16" s="3" t="s">
        <v>226</v>
      </c>
      <c r="E16" s="3" t="s">
        <v>227</v>
      </c>
      <c r="F16" s="3" t="s">
        <v>214</v>
      </c>
      <c r="G16" s="3" t="s">
        <v>167</v>
      </c>
      <c r="H16" s="3" t="s">
        <v>228</v>
      </c>
    </row>
    <row r="17" customFormat="false" ht="30" hidden="false" customHeight="true" outlineLevel="0" collapsed="false">
      <c r="A17" s="3" t="s">
        <v>229</v>
      </c>
      <c r="B17" s="3" t="s">
        <v>230</v>
      </c>
      <c r="C17" s="3" t="s">
        <v>231</v>
      </c>
      <c r="D17" s="3" t="s">
        <v>232</v>
      </c>
      <c r="E17" s="3" t="s">
        <v>233</v>
      </c>
      <c r="F17" s="3" t="s">
        <v>189</v>
      </c>
      <c r="G17" s="3" t="s">
        <v>215</v>
      </c>
      <c r="H17" s="3" t="s">
        <v>234</v>
      </c>
    </row>
    <row r="18" customFormat="false" ht="30" hidden="false" customHeight="true" outlineLevel="0" collapsed="false">
      <c r="A18" s="3" t="s">
        <v>235</v>
      </c>
      <c r="B18" s="3" t="s">
        <v>236</v>
      </c>
      <c r="C18" s="3" t="s">
        <v>179</v>
      </c>
      <c r="D18" s="3" t="s">
        <v>180</v>
      </c>
      <c r="E18" s="3" t="s">
        <v>181</v>
      </c>
      <c r="F18" s="3" t="s">
        <v>237</v>
      </c>
      <c r="G18" s="3" t="s">
        <v>167</v>
      </c>
      <c r="H18" s="3" t="s">
        <v>238</v>
      </c>
    </row>
    <row r="19" customFormat="false" ht="30" hidden="false" customHeight="true" outlineLevel="0" collapsed="false">
      <c r="A19" s="3" t="s">
        <v>239</v>
      </c>
      <c r="B19" s="3" t="s">
        <v>210</v>
      </c>
      <c r="C19" s="3" t="s">
        <v>211</v>
      </c>
      <c r="D19" s="3" t="s">
        <v>240</v>
      </c>
      <c r="E19" s="3" t="s">
        <v>213</v>
      </c>
      <c r="F19" s="3" t="s">
        <v>241</v>
      </c>
      <c r="G19" s="3" t="s">
        <v>215</v>
      </c>
      <c r="H19" s="3" t="s">
        <v>242</v>
      </c>
    </row>
    <row r="20" customFormat="false" ht="30" hidden="false" customHeight="true" outlineLevel="0" collapsed="false">
      <c r="A20" s="3" t="s">
        <v>243</v>
      </c>
      <c r="B20" s="3" t="s">
        <v>170</v>
      </c>
      <c r="C20" s="3" t="s">
        <v>171</v>
      </c>
      <c r="D20" s="3" t="s">
        <v>244</v>
      </c>
      <c r="E20" s="3" t="s">
        <v>245</v>
      </c>
      <c r="F20" s="3" t="s">
        <v>246</v>
      </c>
      <c r="G20" s="3" t="s">
        <v>167</v>
      </c>
      <c r="H20" s="3" t="s">
        <v>247</v>
      </c>
    </row>
    <row r="21" customFormat="false" ht="30" hidden="false" customHeight="true" outlineLevel="0" collapsed="false">
      <c r="A21" s="3" t="s">
        <v>248</v>
      </c>
      <c r="B21" s="3"/>
      <c r="C21" s="3"/>
      <c r="D21" s="3"/>
      <c r="E21" s="3"/>
      <c r="F21" s="3"/>
      <c r="G21" s="3"/>
      <c r="H21" s="3"/>
    </row>
    <row r="22" customFormat="false" ht="30" hidden="false" customHeight="true" outlineLevel="0" collapsed="false">
      <c r="A22" s="3" t="s">
        <v>249</v>
      </c>
      <c r="B22" s="3" t="s">
        <v>250</v>
      </c>
      <c r="C22" s="3" t="s">
        <v>251</v>
      </c>
      <c r="D22" s="3" t="s">
        <v>194</v>
      </c>
      <c r="E22" s="3" t="s">
        <v>194</v>
      </c>
      <c r="F22" s="3" t="s">
        <v>252</v>
      </c>
      <c r="G22" s="3" t="s">
        <v>253</v>
      </c>
      <c r="H22" s="3" t="s">
        <v>254</v>
      </c>
    </row>
    <row r="23" customFormat="false" ht="30" hidden="false" customHeight="true" outlineLevel="0" collapsed="false">
      <c r="A23" s="3" t="s">
        <v>255</v>
      </c>
      <c r="B23" s="3" t="s">
        <v>218</v>
      </c>
      <c r="C23" s="3" t="s">
        <v>219</v>
      </c>
      <c r="D23" s="3" t="s">
        <v>256</v>
      </c>
      <c r="E23" s="3" t="s">
        <v>257</v>
      </c>
      <c r="F23" s="3" t="s">
        <v>258</v>
      </c>
      <c r="G23" s="3" t="s">
        <v>259</v>
      </c>
      <c r="H23" s="3" t="s">
        <v>260</v>
      </c>
    </row>
    <row r="24" customFormat="false" ht="30" hidden="false" customHeight="true" outlineLevel="0" collapsed="false">
      <c r="A24" s="3" t="s">
        <v>261</v>
      </c>
      <c r="B24" s="3" t="s">
        <v>262</v>
      </c>
      <c r="C24" s="3" t="s">
        <v>263</v>
      </c>
      <c r="D24" s="3" t="s">
        <v>264</v>
      </c>
      <c r="E24" s="3" t="s">
        <v>265</v>
      </c>
      <c r="F24" s="3" t="s">
        <v>189</v>
      </c>
      <c r="G24" s="3" t="s">
        <v>266</v>
      </c>
      <c r="H24" s="3" t="s">
        <v>267</v>
      </c>
    </row>
    <row r="25" customFormat="false" ht="30" hidden="false" customHeight="true" outlineLevel="0" collapsed="false">
      <c r="A25" s="3" t="s">
        <v>64</v>
      </c>
      <c r="B25" s="3" t="s">
        <v>218</v>
      </c>
      <c r="C25" s="3" t="s">
        <v>219</v>
      </c>
      <c r="D25" s="3" t="s">
        <v>256</v>
      </c>
      <c r="E25" s="3" t="s">
        <v>257</v>
      </c>
      <c r="F25" s="3" t="s">
        <v>268</v>
      </c>
      <c r="G25" s="3" t="s">
        <v>167</v>
      </c>
      <c r="H25" s="3" t="s">
        <v>269</v>
      </c>
    </row>
    <row r="26" customFormat="false" ht="30" hidden="false" customHeight="true" outlineLevel="0" collapsed="false">
      <c r="A26" s="3" t="s">
        <v>67</v>
      </c>
      <c r="B26" s="3" t="s">
        <v>270</v>
      </c>
      <c r="C26" s="3" t="s">
        <v>271</v>
      </c>
      <c r="D26" s="3" t="s">
        <v>272</v>
      </c>
      <c r="E26" s="3" t="s">
        <v>273</v>
      </c>
      <c r="F26" s="3" t="s">
        <v>274</v>
      </c>
      <c r="G26" s="3" t="s">
        <v>275</v>
      </c>
      <c r="H26" s="3" t="s">
        <v>276</v>
      </c>
    </row>
    <row r="27" customFormat="false" ht="30" hidden="false" customHeight="true" outlineLevel="0" collapsed="false">
      <c r="A27" s="3" t="s">
        <v>277</v>
      </c>
      <c r="B27" s="3" t="s">
        <v>270</v>
      </c>
      <c r="C27" s="3" t="s">
        <v>271</v>
      </c>
      <c r="D27" s="3" t="s">
        <v>272</v>
      </c>
      <c r="E27" s="3" t="s">
        <v>273</v>
      </c>
      <c r="F27" s="3" t="s">
        <v>278</v>
      </c>
      <c r="G27" s="3" t="s">
        <v>275</v>
      </c>
      <c r="H27" s="3" t="s">
        <v>279</v>
      </c>
    </row>
    <row r="28" customFormat="false" ht="30" hidden="false" customHeight="true" outlineLevel="0" collapsed="false">
      <c r="A28" s="3" t="s">
        <v>280</v>
      </c>
      <c r="B28" s="3" t="s">
        <v>281</v>
      </c>
      <c r="C28" s="3" t="s">
        <v>179</v>
      </c>
      <c r="D28" s="3" t="s">
        <v>282</v>
      </c>
      <c r="E28" s="3" t="s">
        <v>283</v>
      </c>
      <c r="F28" s="3" t="s">
        <v>284</v>
      </c>
      <c r="G28" s="3" t="s">
        <v>275</v>
      </c>
      <c r="H28" s="3" t="s">
        <v>285</v>
      </c>
    </row>
    <row r="29" customFormat="false" ht="30" hidden="false" customHeight="true" outlineLevel="0" collapsed="false">
      <c r="A29" s="3" t="s">
        <v>286</v>
      </c>
      <c r="B29" s="3" t="s">
        <v>287</v>
      </c>
      <c r="C29" s="3" t="s">
        <v>186</v>
      </c>
      <c r="D29" s="3" t="s">
        <v>180</v>
      </c>
      <c r="E29" s="3" t="s">
        <v>245</v>
      </c>
      <c r="F29" s="3" t="s">
        <v>288</v>
      </c>
      <c r="G29" s="3" t="s">
        <v>289</v>
      </c>
      <c r="H29" s="3" t="s">
        <v>290</v>
      </c>
    </row>
    <row r="30" customFormat="false" ht="30" hidden="false" customHeight="true" outlineLevel="0" collapsed="false">
      <c r="A30" s="3" t="s">
        <v>77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</row>
    <row r="31" customFormat="false" ht="30" hidden="false" customHeight="true" outlineLevel="0" collapsed="false">
      <c r="A31" s="3" t="s">
        <v>80</v>
      </c>
      <c r="B31" s="3" t="s">
        <v>291</v>
      </c>
      <c r="C31" s="3" t="s">
        <v>292</v>
      </c>
      <c r="D31" s="3" t="s">
        <v>293</v>
      </c>
      <c r="E31" s="3" t="s">
        <v>294</v>
      </c>
      <c r="F31" s="3" t="s">
        <v>298</v>
      </c>
      <c r="G31" s="3" t="s">
        <v>296</v>
      </c>
      <c r="H31" s="3" t="s">
        <v>299</v>
      </c>
    </row>
    <row r="32" customFormat="false" ht="30" hidden="false" customHeight="true" outlineLevel="0" collapsed="false">
      <c r="A32" s="3" t="s">
        <v>300</v>
      </c>
      <c r="B32" s="3"/>
      <c r="C32" s="3"/>
      <c r="D32" s="3"/>
      <c r="E32" s="3"/>
      <c r="F32" s="3"/>
      <c r="G32" s="3"/>
      <c r="H32" s="3"/>
    </row>
    <row r="33" customFormat="false" ht="30" hidden="false" customHeight="true" outlineLevel="0" collapsed="false">
      <c r="A33" s="3" t="s">
        <v>301</v>
      </c>
      <c r="B33" s="3" t="s">
        <v>302</v>
      </c>
      <c r="C33" s="3" t="s">
        <v>303</v>
      </c>
      <c r="D33" s="3" t="s">
        <v>304</v>
      </c>
      <c r="E33" s="3" t="s">
        <v>305</v>
      </c>
      <c r="F33" s="3" t="s">
        <v>189</v>
      </c>
      <c r="G33" s="3" t="s">
        <v>189</v>
      </c>
      <c r="H33" s="3" t="s">
        <v>306</v>
      </c>
    </row>
    <row r="34" customFormat="false" ht="30" hidden="false" customHeight="true" outlineLevel="0" collapsed="false">
      <c r="A34" s="3" t="s">
        <v>307</v>
      </c>
      <c r="B34" s="3" t="s">
        <v>308</v>
      </c>
      <c r="C34" s="3" t="s">
        <v>186</v>
      </c>
      <c r="D34" s="3" t="s">
        <v>309</v>
      </c>
      <c r="E34" s="3" t="s">
        <v>310</v>
      </c>
      <c r="F34" s="3" t="s">
        <v>189</v>
      </c>
      <c r="G34" s="3" t="s">
        <v>189</v>
      </c>
      <c r="H34" s="3" t="s">
        <v>311</v>
      </c>
    </row>
    <row r="35" customFormat="false" ht="30" hidden="false" customHeight="true" outlineLevel="0" collapsed="false">
      <c r="A35" s="3" t="s">
        <v>312</v>
      </c>
      <c r="B35" s="3" t="s">
        <v>313</v>
      </c>
      <c r="C35" s="3" t="s">
        <v>179</v>
      </c>
      <c r="D35" s="3" t="s">
        <v>282</v>
      </c>
      <c r="E35" s="3" t="s">
        <v>314</v>
      </c>
      <c r="F35" s="3" t="s">
        <v>315</v>
      </c>
      <c r="G35" s="3" t="s">
        <v>316</v>
      </c>
      <c r="H35" s="3" t="s">
        <v>317</v>
      </c>
    </row>
    <row r="36" customFormat="false" ht="30" hidden="false" customHeight="true" outlineLevel="0" collapsed="false">
      <c r="A36" s="3" t="s">
        <v>74</v>
      </c>
      <c r="B36" s="3" t="s">
        <v>318</v>
      </c>
      <c r="C36" s="3" t="s">
        <v>179</v>
      </c>
      <c r="D36" s="3" t="s">
        <v>180</v>
      </c>
      <c r="E36" s="3" t="s">
        <v>181</v>
      </c>
      <c r="F36" s="3" t="s">
        <v>319</v>
      </c>
      <c r="G36" s="3" t="s">
        <v>320</v>
      </c>
      <c r="H36" s="3" t="s">
        <v>321</v>
      </c>
    </row>
    <row r="37" customFormat="false" ht="30" hidden="false" customHeight="true" outlineLevel="0" collapsed="false">
      <c r="A37" s="3" t="s">
        <v>322</v>
      </c>
      <c r="B37" s="3" t="s">
        <v>323</v>
      </c>
      <c r="C37" s="3" t="s">
        <v>271</v>
      </c>
      <c r="D37" s="3" t="s">
        <v>282</v>
      </c>
      <c r="E37" s="3" t="s">
        <v>324</v>
      </c>
      <c r="F37" s="3" t="s">
        <v>189</v>
      </c>
      <c r="G37" s="3" t="s">
        <v>167</v>
      </c>
      <c r="H37" s="3" t="s">
        <v>325</v>
      </c>
    </row>
    <row r="38" customFormat="false" ht="30" hidden="false" customHeight="true" outlineLevel="0" collapsed="false">
      <c r="A38" s="3" t="s">
        <v>326</v>
      </c>
      <c r="B38" s="3" t="s">
        <v>327</v>
      </c>
      <c r="C38" s="3" t="s">
        <v>186</v>
      </c>
      <c r="D38" s="3" t="s">
        <v>328</v>
      </c>
      <c r="E38" s="3" t="s">
        <v>329</v>
      </c>
      <c r="F38" s="3" t="s">
        <v>330</v>
      </c>
      <c r="G38" s="3" t="s">
        <v>331</v>
      </c>
      <c r="H38" s="3" t="s">
        <v>332</v>
      </c>
    </row>
    <row r="39" customFormat="false" ht="30" hidden="false" customHeight="true" outlineLevel="0" collapsed="false">
      <c r="A39" s="3" t="s">
        <v>333</v>
      </c>
      <c r="B39" s="3" t="s">
        <v>334</v>
      </c>
      <c r="C39" s="3" t="s">
        <v>335</v>
      </c>
      <c r="D39" s="3" t="s">
        <v>336</v>
      </c>
      <c r="E39" s="3" t="s">
        <v>337</v>
      </c>
      <c r="F39" s="3" t="s">
        <v>189</v>
      </c>
      <c r="G39" s="3" t="s">
        <v>338</v>
      </c>
      <c r="H39" s="3" t="s">
        <v>339</v>
      </c>
    </row>
    <row r="40" customFormat="false" ht="30" hidden="false" customHeight="true" outlineLevel="0" collapsed="false">
      <c r="A40" s="3" t="s">
        <v>340</v>
      </c>
      <c r="B40" s="3" t="s">
        <v>341</v>
      </c>
      <c r="C40" s="3" t="s">
        <v>186</v>
      </c>
      <c r="D40" s="3" t="s">
        <v>342</v>
      </c>
      <c r="E40" s="3" t="s">
        <v>343</v>
      </c>
      <c r="F40" s="3" t="s">
        <v>344</v>
      </c>
      <c r="G40" s="3" t="s">
        <v>345</v>
      </c>
      <c r="H40" s="3" t="s">
        <v>346</v>
      </c>
    </row>
    <row r="41" customFormat="false" ht="30" hidden="false" customHeight="true" outlineLevel="0" collapsed="false">
      <c r="A41" s="3" t="s">
        <v>347</v>
      </c>
      <c r="B41" s="3"/>
      <c r="C41" s="3"/>
      <c r="D41" s="3"/>
      <c r="E41" s="3"/>
      <c r="F41" s="3"/>
      <c r="G41" s="3"/>
      <c r="H41" s="3"/>
    </row>
    <row r="42" customFormat="false" ht="30" hidden="false" customHeight="true" outlineLevel="0" collapsed="false">
      <c r="A42" s="3" t="s">
        <v>348</v>
      </c>
      <c r="B42" s="3" t="s">
        <v>349</v>
      </c>
      <c r="C42" s="3" t="s">
        <v>350</v>
      </c>
      <c r="D42" s="3" t="s">
        <v>351</v>
      </c>
      <c r="E42" s="3" t="s">
        <v>352</v>
      </c>
      <c r="F42" s="3" t="s">
        <v>189</v>
      </c>
      <c r="G42" s="3" t="s">
        <v>353</v>
      </c>
      <c r="H42" s="3" t="s">
        <v>354</v>
      </c>
    </row>
    <row r="43" customFormat="false" ht="30" hidden="false" customHeight="true" outlineLevel="0" collapsed="false">
      <c r="A43" s="3" t="s">
        <v>355</v>
      </c>
      <c r="B43" s="3" t="s">
        <v>356</v>
      </c>
      <c r="C43" s="3" t="s">
        <v>186</v>
      </c>
      <c r="D43" s="3" t="s">
        <v>282</v>
      </c>
      <c r="E43" s="3" t="s">
        <v>357</v>
      </c>
      <c r="F43" s="3" t="s">
        <v>358</v>
      </c>
      <c r="G43" s="3" t="s">
        <v>359</v>
      </c>
      <c r="H43" s="3" t="s">
        <v>360</v>
      </c>
    </row>
    <row r="44" customFormat="false" ht="30" hidden="false" customHeight="true" outlineLevel="0" collapsed="false">
      <c r="A44" s="3" t="s">
        <v>361</v>
      </c>
      <c r="B44" s="3" t="s">
        <v>362</v>
      </c>
      <c r="C44" s="3" t="s">
        <v>186</v>
      </c>
      <c r="D44" s="3" t="s">
        <v>180</v>
      </c>
      <c r="E44" s="3" t="s">
        <v>245</v>
      </c>
      <c r="F44" s="3" t="s">
        <v>363</v>
      </c>
      <c r="G44" s="3" t="s">
        <v>364</v>
      </c>
      <c r="H44" s="3" t="s">
        <v>365</v>
      </c>
    </row>
    <row r="45" customFormat="false" ht="30" hidden="false" customHeight="true" outlineLevel="0" collapsed="false">
      <c r="A45" s="3" t="s">
        <v>366</v>
      </c>
      <c r="B45" s="3" t="s">
        <v>367</v>
      </c>
      <c r="C45" s="3" t="s">
        <v>186</v>
      </c>
      <c r="D45" s="3" t="s">
        <v>368</v>
      </c>
      <c r="E45" s="3" t="s">
        <v>369</v>
      </c>
      <c r="F45" s="3" t="s">
        <v>370</v>
      </c>
      <c r="G45" s="3" t="s">
        <v>371</v>
      </c>
      <c r="H45" s="3" t="s">
        <v>372</v>
      </c>
    </row>
    <row r="46" customFormat="false" ht="30" hidden="false" customHeight="true" outlineLevel="0" collapsed="false">
      <c r="A46" s="3" t="s">
        <v>373</v>
      </c>
      <c r="B46" s="3" t="s">
        <v>374</v>
      </c>
      <c r="C46" s="3" t="s">
        <v>186</v>
      </c>
      <c r="D46" s="3" t="s">
        <v>375</v>
      </c>
      <c r="E46" s="3" t="s">
        <v>376</v>
      </c>
      <c r="F46" s="3" t="s">
        <v>377</v>
      </c>
      <c r="G46" s="3" t="s">
        <v>378</v>
      </c>
      <c r="H46" s="3" t="s">
        <v>379</v>
      </c>
    </row>
    <row r="47" customFormat="false" ht="30" hidden="false" customHeight="true" outlineLevel="0" collapsed="false">
      <c r="A47" s="3" t="s">
        <v>380</v>
      </c>
      <c r="B47" s="3" t="s">
        <v>381</v>
      </c>
      <c r="C47" s="3" t="s">
        <v>186</v>
      </c>
      <c r="D47" s="3" t="s">
        <v>382</v>
      </c>
      <c r="E47" s="3" t="s">
        <v>383</v>
      </c>
      <c r="F47" s="3" t="s">
        <v>384</v>
      </c>
      <c r="G47" s="3" t="s">
        <v>385</v>
      </c>
      <c r="H47" s="3" t="s">
        <v>386</v>
      </c>
    </row>
    <row r="48" customFormat="false" ht="30" hidden="false" customHeight="true" outlineLevel="0" collapsed="false">
      <c r="A48" s="3" t="s">
        <v>387</v>
      </c>
      <c r="B48" s="3" t="s">
        <v>388</v>
      </c>
      <c r="C48" s="3" t="s">
        <v>179</v>
      </c>
      <c r="D48" s="3" t="s">
        <v>180</v>
      </c>
      <c r="E48" s="3" t="s">
        <v>245</v>
      </c>
      <c r="F48" s="3" t="s">
        <v>389</v>
      </c>
      <c r="G48" s="3" t="s">
        <v>167</v>
      </c>
      <c r="H48" s="3" t="s">
        <v>390</v>
      </c>
    </row>
  </sheetData>
  <mergeCells count="2">
    <mergeCell ref="A1:H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40"/>
    <col collapsed="false" customWidth="true" hidden="false" outlineLevel="0" max="7" min="6" style="0" width="5"/>
  </cols>
  <sheetData>
    <row r="1" customFormat="false" ht="16.15" hidden="false" customHeight="false" outlineLevel="0" collapsed="false">
      <c r="A1" s="4" t="s">
        <v>391</v>
      </c>
      <c r="B1" s="4"/>
      <c r="C1" s="4"/>
      <c r="D1" s="4"/>
      <c r="E1" s="4"/>
      <c r="F1" s="4"/>
      <c r="G1" s="4"/>
    </row>
    <row r="2" customFormat="false" ht="15" hidden="false" customHeight="true" outlineLevel="0" collapsed="false">
      <c r="A2" s="5" t="s">
        <v>392</v>
      </c>
      <c r="B2" s="5"/>
      <c r="C2" s="5"/>
      <c r="D2" s="5"/>
      <c r="E2" s="5"/>
      <c r="F2" s="5"/>
    </row>
    <row r="4" customFormat="false" ht="16.15" hidden="false" customHeight="false" outlineLevel="0" collapsed="false">
      <c r="A4" s="4" t="s">
        <v>393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1" t="s">
        <v>154</v>
      </c>
      <c r="B5" s="1" t="s">
        <v>155</v>
      </c>
      <c r="C5" s="1" t="s">
        <v>156</v>
      </c>
      <c r="D5" s="1" t="s">
        <v>394</v>
      </c>
      <c r="E5" s="1" t="s">
        <v>395</v>
      </c>
      <c r="F5" s="1" t="s">
        <v>396</v>
      </c>
      <c r="G5" s="1" t="s">
        <v>33</v>
      </c>
    </row>
    <row r="6" customFormat="false" ht="61.5" hidden="false" customHeight="true" outlineLevel="0" collapsed="false">
      <c r="A6" s="18" t="s">
        <v>397</v>
      </c>
      <c r="B6" s="3" t="s">
        <v>219</v>
      </c>
      <c r="C6" s="3" t="s">
        <v>398</v>
      </c>
      <c r="D6" s="3" t="s">
        <v>399</v>
      </c>
      <c r="E6" s="3" t="s">
        <v>400</v>
      </c>
      <c r="F6" s="3" t="s">
        <v>189</v>
      </c>
      <c r="G6" s="3" t="s">
        <v>401</v>
      </c>
    </row>
    <row r="7" customFormat="false" ht="61.5" hidden="false" customHeight="true" outlineLevel="0" collapsed="false">
      <c r="A7" s="18" t="s">
        <v>402</v>
      </c>
      <c r="B7" s="3" t="s">
        <v>403</v>
      </c>
      <c r="C7" s="3" t="s">
        <v>404</v>
      </c>
      <c r="D7" s="3" t="s">
        <v>405</v>
      </c>
      <c r="E7" s="3" t="s">
        <v>406</v>
      </c>
      <c r="F7" s="3" t="s">
        <v>407</v>
      </c>
      <c r="G7" s="3" t="s">
        <v>408</v>
      </c>
    </row>
    <row r="8" customFormat="false" ht="61.5" hidden="false" customHeight="true" outlineLevel="0" collapsed="false">
      <c r="A8" s="18" t="s">
        <v>409</v>
      </c>
      <c r="B8" s="3" t="s">
        <v>251</v>
      </c>
      <c r="C8" s="3" t="s">
        <v>194</v>
      </c>
      <c r="D8" s="3" t="s">
        <v>410</v>
      </c>
      <c r="E8" s="3" t="s">
        <v>411</v>
      </c>
      <c r="F8" s="3" t="s">
        <v>189</v>
      </c>
      <c r="G8" s="3" t="s">
        <v>412</v>
      </c>
    </row>
    <row r="10" customFormat="false" ht="24.05" hidden="false" customHeight="true" outlineLevel="0" collapsed="false">
      <c r="A10" s="5" t="s">
        <v>413</v>
      </c>
      <c r="B10" s="5"/>
      <c r="C10" s="5"/>
      <c r="D10" s="5"/>
      <c r="E10" s="5"/>
      <c r="F10" s="5"/>
    </row>
    <row r="12" customFormat="false" ht="16.15" hidden="false" customHeight="false" outlineLevel="0" collapsed="false">
      <c r="A12" s="4" t="s">
        <v>414</v>
      </c>
      <c r="B12" s="4"/>
      <c r="C12" s="4"/>
      <c r="D12" s="4"/>
      <c r="E12" s="4"/>
      <c r="F12" s="4"/>
      <c r="G12" s="4"/>
    </row>
    <row r="13" customFormat="false" ht="30" hidden="false" customHeight="true" outlineLevel="0" collapsed="false">
      <c r="A13" s="1" t="s">
        <v>134</v>
      </c>
      <c r="B13" s="1" t="s">
        <v>415</v>
      </c>
      <c r="C13" s="1" t="s">
        <v>396</v>
      </c>
      <c r="D13" s="1" t="s">
        <v>416</v>
      </c>
      <c r="E13" s="1" t="s">
        <v>2</v>
      </c>
      <c r="F13" s="1" t="s">
        <v>100</v>
      </c>
      <c r="G13" s="1"/>
    </row>
    <row r="14" customFormat="false" ht="33.75" hidden="false" customHeight="true" outlineLevel="0" collapsed="false">
      <c r="A14" s="3" t="s">
        <v>417</v>
      </c>
      <c r="B14" s="3" t="s">
        <v>418</v>
      </c>
      <c r="C14" s="3" t="s">
        <v>419</v>
      </c>
      <c r="D14" s="19" t="n">
        <v>43901.66</v>
      </c>
      <c r="E14" s="3" t="s">
        <v>420</v>
      </c>
      <c r="F14" s="3" t="s">
        <v>421</v>
      </c>
    </row>
    <row r="15" customFormat="false" ht="33.75" hidden="false" customHeight="true" outlineLevel="0" collapsed="false">
      <c r="A15" s="3" t="s">
        <v>422</v>
      </c>
      <c r="B15" s="3" t="s">
        <v>423</v>
      </c>
      <c r="C15" s="3" t="s">
        <v>424</v>
      </c>
      <c r="D15" s="19" t="n">
        <v>41762.6</v>
      </c>
      <c r="E15" s="3" t="s">
        <v>425</v>
      </c>
      <c r="F15" s="3" t="s">
        <v>426</v>
      </c>
    </row>
    <row r="16" customFormat="false" ht="33.75" hidden="false" customHeight="true" outlineLevel="0" collapsed="false">
      <c r="A16" s="3" t="s">
        <v>427</v>
      </c>
      <c r="B16" s="3" t="s">
        <v>428</v>
      </c>
      <c r="C16" s="3" t="s">
        <v>429</v>
      </c>
      <c r="D16" s="19" t="n">
        <v>49121.7</v>
      </c>
      <c r="E16" s="3" t="s">
        <v>430</v>
      </c>
      <c r="F16" s="3" t="s">
        <v>431</v>
      </c>
    </row>
    <row r="17" customFormat="false" ht="33.75" hidden="false" customHeight="true" outlineLevel="0" collapsed="false">
      <c r="A17" s="3" t="s">
        <v>432</v>
      </c>
      <c r="B17" s="3" t="s">
        <v>433</v>
      </c>
      <c r="C17" s="3" t="s">
        <v>434</v>
      </c>
      <c r="D17" s="8" t="s">
        <v>194</v>
      </c>
      <c r="E17" s="3" t="s">
        <v>435</v>
      </c>
      <c r="F17" s="3" t="s">
        <v>436</v>
      </c>
    </row>
    <row r="18" customFormat="false" ht="33.75" hidden="false" customHeight="true" outlineLevel="0" collapsed="false">
      <c r="A18" s="3" t="s">
        <v>437</v>
      </c>
      <c r="B18" s="3" t="s">
        <v>438</v>
      </c>
      <c r="C18" s="3" t="s">
        <v>439</v>
      </c>
      <c r="D18" s="8" t="s">
        <v>194</v>
      </c>
      <c r="E18" s="3" t="s">
        <v>440</v>
      </c>
      <c r="F18" s="3" t="s">
        <v>441</v>
      </c>
    </row>
    <row r="19" customFormat="false" ht="33.75" hidden="false" customHeight="true" outlineLevel="0" collapsed="false">
      <c r="A19" s="3" t="s">
        <v>442</v>
      </c>
      <c r="B19" s="3" t="s">
        <v>443</v>
      </c>
      <c r="C19" s="3" t="s">
        <v>444</v>
      </c>
      <c r="D19" s="19" t="n">
        <v>448600</v>
      </c>
      <c r="E19" s="3" t="s">
        <v>445</v>
      </c>
      <c r="F19" s="3" t="s">
        <v>446</v>
      </c>
    </row>
    <row r="20" customFormat="false" ht="33.75" hidden="false" customHeight="true" outlineLevel="0" collapsed="false">
      <c r="A20" s="3" t="s">
        <v>447</v>
      </c>
      <c r="B20" s="3" t="s">
        <v>448</v>
      </c>
      <c r="C20" s="3" t="s">
        <v>449</v>
      </c>
      <c r="D20" s="19" t="n">
        <v>1121500</v>
      </c>
      <c r="E20" s="3" t="s">
        <v>450</v>
      </c>
      <c r="F20" s="3" t="s">
        <v>451</v>
      </c>
    </row>
    <row r="21" customFormat="false" ht="33.75" hidden="false" customHeight="true" outlineLevel="0" collapsed="false">
      <c r="A21" s="3" t="s">
        <v>452</v>
      </c>
      <c r="B21" s="3" t="s">
        <v>453</v>
      </c>
      <c r="C21" s="3" t="s">
        <v>454</v>
      </c>
      <c r="D21" s="8" t="s">
        <v>194</v>
      </c>
      <c r="E21" s="3" t="s">
        <v>455</v>
      </c>
      <c r="F21" s="3" t="s">
        <v>456</v>
      </c>
    </row>
    <row r="22" customFormat="false" ht="33.75" hidden="false" customHeight="true" outlineLevel="0" collapsed="false">
      <c r="A22" s="3" t="s">
        <v>457</v>
      </c>
      <c r="B22" s="3" t="s">
        <v>458</v>
      </c>
      <c r="C22" s="3" t="s">
        <v>459</v>
      </c>
      <c r="D22" s="8" t="s">
        <v>194</v>
      </c>
      <c r="E22" s="3" t="s">
        <v>460</v>
      </c>
      <c r="F22" s="3" t="s">
        <v>461</v>
      </c>
    </row>
    <row r="23" customFormat="false" ht="33.75" hidden="false" customHeight="true" outlineLevel="0" collapsed="false">
      <c r="A23" s="3" t="s">
        <v>462</v>
      </c>
      <c r="B23" s="3" t="s">
        <v>463</v>
      </c>
      <c r="C23" s="3" t="s">
        <v>464</v>
      </c>
      <c r="D23" s="8" t="s">
        <v>194</v>
      </c>
      <c r="E23" s="3" t="s">
        <v>460</v>
      </c>
      <c r="F23" s="3" t="s">
        <v>465</v>
      </c>
    </row>
    <row r="25" customFormat="false" ht="24.05" hidden="false" customHeight="true" outlineLevel="0" collapsed="false">
      <c r="A25" s="5" t="s">
        <v>466</v>
      </c>
      <c r="B25" s="5"/>
      <c r="C25" s="5"/>
      <c r="D25" s="5"/>
      <c r="E25" s="5"/>
      <c r="F25" s="5"/>
    </row>
    <row r="27" customFormat="false" ht="16.15" hidden="false" customHeight="false" outlineLevel="0" collapsed="false">
      <c r="A27" s="4" t="s">
        <v>467</v>
      </c>
      <c r="B27" s="4"/>
      <c r="C27" s="4"/>
      <c r="D27" s="4"/>
      <c r="E27" s="4"/>
      <c r="F27" s="4"/>
      <c r="G27" s="4"/>
    </row>
    <row r="28" customFormat="false" ht="30" hidden="false" customHeight="true" outlineLevel="0" collapsed="false">
      <c r="A28" s="1" t="s">
        <v>468</v>
      </c>
      <c r="B28" s="1" t="s">
        <v>469</v>
      </c>
      <c r="C28" s="1" t="s">
        <v>470</v>
      </c>
      <c r="D28" s="1" t="s">
        <v>471</v>
      </c>
      <c r="E28" s="1" t="s">
        <v>472</v>
      </c>
      <c r="F28" s="1"/>
      <c r="G28" s="1"/>
    </row>
    <row r="29" customFormat="false" ht="69.75" hidden="false" customHeight="true" outlineLevel="0" collapsed="false">
      <c r="A29" s="18" t="s">
        <v>473</v>
      </c>
      <c r="B29" s="3" t="s">
        <v>474</v>
      </c>
      <c r="C29" s="3" t="s">
        <v>475</v>
      </c>
      <c r="D29" s="3" t="s">
        <v>476</v>
      </c>
      <c r="E29" s="3" t="s">
        <v>477</v>
      </c>
    </row>
    <row r="30" customFormat="false" ht="69.75" hidden="false" customHeight="true" outlineLevel="0" collapsed="false">
      <c r="A30" s="18" t="s">
        <v>478</v>
      </c>
      <c r="B30" s="3" t="s">
        <v>479</v>
      </c>
      <c r="C30" s="3" t="s">
        <v>480</v>
      </c>
      <c r="D30" s="3" t="s">
        <v>481</v>
      </c>
      <c r="E30" s="3" t="s">
        <v>482</v>
      </c>
    </row>
    <row r="31" customFormat="false" ht="69.75" hidden="false" customHeight="true" outlineLevel="0" collapsed="false">
      <c r="A31" s="18" t="s">
        <v>483</v>
      </c>
      <c r="B31" s="3" t="s">
        <v>484</v>
      </c>
      <c r="C31" s="3" t="s">
        <v>485</v>
      </c>
      <c r="D31" s="3" t="s">
        <v>486</v>
      </c>
      <c r="E31" s="3" t="s">
        <v>487</v>
      </c>
    </row>
    <row r="33" customFormat="false" ht="24.05" hidden="false" customHeight="true" outlineLevel="0" collapsed="false">
      <c r="A33" s="5" t="s">
        <v>488</v>
      </c>
      <c r="B33" s="5"/>
      <c r="C33" s="5"/>
      <c r="D33" s="5"/>
      <c r="E33" s="5"/>
      <c r="F33" s="5"/>
    </row>
  </sheetData>
  <mergeCells count="8">
    <mergeCell ref="A1:G1"/>
    <mergeCell ref="A2:F2"/>
    <mergeCell ref="A4:G4"/>
    <mergeCell ref="A10:F10"/>
    <mergeCell ref="A12:G12"/>
    <mergeCell ref="A25:F25"/>
    <mergeCell ref="A27:G27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20"/>
    <col collapsed="false" customWidth="true" hidden="false" outlineLevel="0" max="6" min="5" style="0" width="22"/>
  </cols>
  <sheetData>
    <row r="1" customFormat="false" ht="16.15" hidden="false" customHeight="false" outlineLevel="0" collapsed="false">
      <c r="A1" s="4" t="s">
        <v>489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490</v>
      </c>
      <c r="B2" s="5"/>
      <c r="C2" s="5"/>
      <c r="D2" s="5"/>
      <c r="E2" s="5"/>
      <c r="F2" s="5"/>
    </row>
    <row r="4" customFormat="false" ht="30" hidden="false" customHeight="true" outlineLevel="0" collapsed="false">
      <c r="A4" s="1" t="s">
        <v>491</v>
      </c>
      <c r="B4" s="1" t="s">
        <v>492</v>
      </c>
      <c r="C4" s="1" t="s">
        <v>29</v>
      </c>
      <c r="D4" s="1" t="s">
        <v>493</v>
      </c>
      <c r="E4" s="1"/>
      <c r="F4" s="1"/>
    </row>
    <row r="5" customFormat="false" ht="24" hidden="false" customHeight="true" outlineLevel="0" collapsed="false">
      <c r="A5" s="3" t="s">
        <v>494</v>
      </c>
      <c r="B5" s="20" t="n">
        <v>5000</v>
      </c>
      <c r="C5" s="8" t="s">
        <v>87</v>
      </c>
      <c r="D5" s="3" t="s">
        <v>495</v>
      </c>
    </row>
    <row r="6" customFormat="false" ht="24" hidden="false" customHeight="true" outlineLevel="0" collapsed="false">
      <c r="A6" s="3" t="s">
        <v>496</v>
      </c>
      <c r="B6" s="17" t="n">
        <f aca="false">B5/0.33</f>
        <v>15151.5151515152</v>
      </c>
      <c r="C6" s="8" t="s">
        <v>497</v>
      </c>
      <c r="D6" s="3" t="s">
        <v>498</v>
      </c>
    </row>
    <row r="7" customFormat="false" ht="24" hidden="false" customHeight="true" outlineLevel="0" collapsed="false">
      <c r="A7" s="3" t="s">
        <v>499</v>
      </c>
      <c r="B7" s="9" t="n">
        <v>22</v>
      </c>
      <c r="C7" s="8" t="s">
        <v>103</v>
      </c>
      <c r="D7" s="3" t="s">
        <v>500</v>
      </c>
    </row>
    <row r="8" customFormat="false" ht="24" hidden="false" customHeight="true" outlineLevel="0" collapsed="false">
      <c r="A8" s="3" t="s">
        <v>501</v>
      </c>
      <c r="B8" s="10" t="n">
        <f aca="false">B6*B7</f>
        <v>333333.333333333</v>
      </c>
      <c r="C8" s="8" t="s">
        <v>103</v>
      </c>
      <c r="D8" s="3" t="s">
        <v>502</v>
      </c>
    </row>
    <row r="9" customFormat="false" ht="24" hidden="false" customHeight="true" outlineLevel="0" collapsed="false">
      <c r="A9" s="3" t="s">
        <v>503</v>
      </c>
      <c r="B9" s="10" t="n">
        <f aca="false">B6*'2. Собівартість'!E18</f>
        <v>276955.1355375</v>
      </c>
      <c r="C9" s="8" t="s">
        <v>103</v>
      </c>
      <c r="D9" s="3" t="s">
        <v>504</v>
      </c>
    </row>
    <row r="10" customFormat="false" ht="24" hidden="false" customHeight="true" outlineLevel="0" collapsed="false">
      <c r="A10" s="3" t="s">
        <v>505</v>
      </c>
      <c r="B10" s="10" t="n">
        <f aca="false">B8-B9</f>
        <v>56378.1977958333</v>
      </c>
      <c r="C10" s="8" t="s">
        <v>103</v>
      </c>
      <c r="D10" s="3" t="s">
        <v>506</v>
      </c>
    </row>
    <row r="11" customFormat="false" ht="24" hidden="false" customHeight="true" outlineLevel="0" collapsed="false">
      <c r="A11" s="3" t="s">
        <v>507</v>
      </c>
      <c r="B11" s="21" t="n">
        <f aca="false">IF(B8=0,0,B10/B8)</f>
        <v>0.1691345933875</v>
      </c>
      <c r="C11" s="8" t="s">
        <v>106</v>
      </c>
      <c r="D11" s="3" t="s">
        <v>508</v>
      </c>
    </row>
    <row r="12" customFormat="false" ht="24" hidden="false" customHeight="true" outlineLevel="0" collapsed="false">
      <c r="A12" s="3" t="s">
        <v>509</v>
      </c>
      <c r="B12" s="10" t="n">
        <f aca="false">IF(B6=0,0,B10/B6)</f>
        <v>3.720961054525</v>
      </c>
      <c r="C12" s="8" t="s">
        <v>103</v>
      </c>
      <c r="D12" s="3" t="s">
        <v>510</v>
      </c>
    </row>
    <row r="13" customFormat="false" ht="26.5" hidden="false" customHeight="false" outlineLevel="0" collapsed="false">
      <c r="A13" s="22" t="s">
        <v>511</v>
      </c>
      <c r="B13" s="7"/>
      <c r="C13" s="7"/>
      <c r="D13" s="7"/>
      <c r="E13" s="7"/>
      <c r="F13" s="7"/>
    </row>
    <row r="14" customFormat="false" ht="24" hidden="false" customHeight="true" outlineLevel="0" collapsed="false">
      <c r="A14" s="3" t="s">
        <v>512</v>
      </c>
      <c r="B14" s="9" t="n">
        <v>0</v>
      </c>
      <c r="C14" s="8" t="s">
        <v>103</v>
      </c>
      <c r="D14" s="3" t="s">
        <v>513</v>
      </c>
    </row>
    <row r="15" customFormat="false" ht="24" hidden="false" customHeight="true" outlineLevel="0" collapsed="false">
      <c r="A15" s="3" t="s">
        <v>514</v>
      </c>
      <c r="B15" s="9" t="n">
        <v>25000</v>
      </c>
      <c r="C15" s="8" t="s">
        <v>103</v>
      </c>
      <c r="D15" s="3" t="s">
        <v>515</v>
      </c>
    </row>
    <row r="16" customFormat="false" ht="24" hidden="false" customHeight="true" outlineLevel="0" collapsed="false">
      <c r="A16" s="3" t="s">
        <v>516</v>
      </c>
      <c r="B16" s="9" t="n">
        <v>20000</v>
      </c>
      <c r="C16" s="8" t="s">
        <v>103</v>
      </c>
      <c r="D16" s="3" t="s">
        <v>517</v>
      </c>
    </row>
    <row r="17" customFormat="false" ht="24" hidden="false" customHeight="true" outlineLevel="0" collapsed="false">
      <c r="A17" s="3" t="s">
        <v>518</v>
      </c>
      <c r="B17" s="9" t="n">
        <v>8000</v>
      </c>
      <c r="C17" s="8" t="s">
        <v>103</v>
      </c>
      <c r="D17" s="3" t="s">
        <v>519</v>
      </c>
    </row>
    <row r="18" customFormat="false" ht="24" hidden="false" customHeight="true" outlineLevel="0" collapsed="false">
      <c r="A18" s="3" t="s">
        <v>520</v>
      </c>
      <c r="B18" s="10" t="n">
        <f aca="false">SUM(B14:B17)</f>
        <v>53000</v>
      </c>
      <c r="C18" s="8" t="s">
        <v>103</v>
      </c>
      <c r="D18" s="3"/>
    </row>
    <row r="19" customFormat="false" ht="24" hidden="false" customHeight="true" outlineLevel="0" collapsed="false">
      <c r="A19" s="3" t="s">
        <v>521</v>
      </c>
      <c r="B19" s="10" t="n">
        <f aca="false">B10-B18</f>
        <v>3378.19779583334</v>
      </c>
      <c r="C19" s="8" t="s">
        <v>103</v>
      </c>
      <c r="D19" s="3" t="s">
        <v>522</v>
      </c>
    </row>
    <row r="20" customFormat="false" ht="24" hidden="false" customHeight="true" outlineLevel="0" collapsed="false">
      <c r="A20" s="3" t="s">
        <v>523</v>
      </c>
      <c r="B20" s="21" t="n">
        <f aca="false">MAX(0,B19)*0.05</f>
        <v>168.909889791667</v>
      </c>
      <c r="C20" s="8" t="s">
        <v>103</v>
      </c>
      <c r="D20" s="3" t="s">
        <v>524</v>
      </c>
    </row>
    <row r="21" customFormat="false" ht="24" hidden="false" customHeight="true" outlineLevel="0" collapsed="false">
      <c r="A21" s="3" t="s">
        <v>525</v>
      </c>
      <c r="B21" s="10" t="n">
        <f aca="false">B19-B20</f>
        <v>3209.28790604168</v>
      </c>
      <c r="C21" s="8" t="s">
        <v>103</v>
      </c>
      <c r="D21" s="3"/>
    </row>
    <row r="22" customFormat="false" ht="24" hidden="false" customHeight="true" outlineLevel="0" collapsed="false">
      <c r="A22" s="3" t="s">
        <v>526</v>
      </c>
      <c r="B22" s="17" t="n">
        <f aca="false">IF(B12&lt;=0,"недосяжно: маржа на банку ≤ 0",B18/B12)</f>
        <v>14243.6320142474</v>
      </c>
      <c r="C22" s="8" t="s">
        <v>497</v>
      </c>
      <c r="D22" s="3" t="s">
        <v>527</v>
      </c>
    </row>
    <row r="23" customFormat="false" ht="24" hidden="false" customHeight="true" outlineLevel="0" collapsed="false">
      <c r="A23" s="3" t="s">
        <v>528</v>
      </c>
      <c r="B23" s="17" t="n">
        <f aca="false">IF(B12&lt;=0,"—",B22*0.33)</f>
        <v>4700.39856470164</v>
      </c>
      <c r="C23" s="8" t="s">
        <v>87</v>
      </c>
      <c r="D23" s="3"/>
    </row>
    <row r="26" customFormat="false" ht="35.5" hidden="false" customHeight="true" outlineLevel="0" collapsed="false">
      <c r="A26" s="5" t="s">
        <v>529</v>
      </c>
      <c r="B26" s="5"/>
      <c r="C26" s="5"/>
      <c r="D26" s="5"/>
      <c r="E26" s="5"/>
      <c r="F26" s="5"/>
    </row>
    <row r="28" customFormat="false" ht="16.15" hidden="false" customHeight="false" outlineLevel="0" collapsed="false">
      <c r="A28" s="4" t="s">
        <v>530</v>
      </c>
      <c r="B28" s="4"/>
      <c r="C28" s="4"/>
      <c r="D28" s="4"/>
      <c r="E28" s="4"/>
      <c r="F28" s="4"/>
    </row>
    <row r="29" customFormat="false" ht="15" hidden="false" customHeight="true" outlineLevel="0" collapsed="false">
      <c r="A29" s="5" t="s">
        <v>531</v>
      </c>
      <c r="B29" s="5"/>
      <c r="C29" s="5"/>
      <c r="D29" s="5"/>
      <c r="E29" s="5"/>
      <c r="F29" s="5"/>
    </row>
    <row r="30" customFormat="false" ht="30" hidden="false" customHeight="true" outlineLevel="0" collapsed="false">
      <c r="A30" s="1" t="s">
        <v>532</v>
      </c>
      <c r="B30" s="1" t="s">
        <v>533</v>
      </c>
      <c r="C30" s="1" t="s">
        <v>534</v>
      </c>
      <c r="D30" s="1" t="s">
        <v>535</v>
      </c>
      <c r="E30" s="1" t="s">
        <v>536</v>
      </c>
      <c r="F30" s="1" t="s">
        <v>537</v>
      </c>
    </row>
    <row r="31" customFormat="false" ht="15" hidden="false" customHeight="false" outlineLevel="0" collapsed="false">
      <c r="A31" s="20" t="n">
        <v>2500</v>
      </c>
      <c r="B31" s="17" t="n">
        <f aca="false">A31/0.33</f>
        <v>7575.75757575758</v>
      </c>
      <c r="C31" s="17" t="n">
        <f aca="false">B31*$B$7</f>
        <v>166666.666666667</v>
      </c>
      <c r="D31" s="17" t="n">
        <f aca="false">B31*'2. Собівартість'!$E$18</f>
        <v>138477.56776875</v>
      </c>
      <c r="E31" s="17" t="n">
        <f aca="false">C31-D31</f>
        <v>28189.0988979167</v>
      </c>
      <c r="F31" s="17" t="n">
        <f aca="false">E31-$B$18</f>
        <v>-24810.9011020833</v>
      </c>
    </row>
    <row r="32" customFormat="false" ht="15" hidden="false" customHeight="false" outlineLevel="0" collapsed="false">
      <c r="A32" s="20" t="n">
        <v>5000</v>
      </c>
      <c r="B32" s="17" t="n">
        <f aca="false">A32/0.33</f>
        <v>15151.5151515152</v>
      </c>
      <c r="C32" s="17" t="n">
        <f aca="false">B32*$B$7</f>
        <v>333333.333333333</v>
      </c>
      <c r="D32" s="17" t="n">
        <f aca="false">B32*'2. Собівартість'!$E$18</f>
        <v>276955.1355375</v>
      </c>
      <c r="E32" s="17" t="n">
        <f aca="false">C32-D32</f>
        <v>56378.1977958333</v>
      </c>
      <c r="F32" s="17" t="n">
        <f aca="false">E32-$B$18</f>
        <v>3378.19779583334</v>
      </c>
    </row>
    <row r="33" customFormat="false" ht="15" hidden="false" customHeight="false" outlineLevel="0" collapsed="false">
      <c r="A33" s="20" t="n">
        <v>10000</v>
      </c>
      <c r="B33" s="17" t="n">
        <f aca="false">A33/0.33</f>
        <v>30303.0303030303</v>
      </c>
      <c r="C33" s="17" t="n">
        <f aca="false">B33*$B$7</f>
        <v>666666.666666667</v>
      </c>
      <c r="D33" s="17" t="n">
        <f aca="false">B33*'2. Собівартість'!$E$18</f>
        <v>553910.271075</v>
      </c>
      <c r="E33" s="17" t="n">
        <f aca="false">C33-D33</f>
        <v>112756.395591667</v>
      </c>
      <c r="F33" s="17" t="n">
        <f aca="false">E33-$B$18</f>
        <v>59756.3955916667</v>
      </c>
    </row>
    <row r="34" customFormat="false" ht="15" hidden="false" customHeight="false" outlineLevel="0" collapsed="false">
      <c r="A34" s="20" t="n">
        <v>20000</v>
      </c>
      <c r="B34" s="17" t="n">
        <f aca="false">A34/0.33</f>
        <v>60606.0606060606</v>
      </c>
      <c r="C34" s="17" t="n">
        <f aca="false">B34*$B$7</f>
        <v>1333333.33333333</v>
      </c>
      <c r="D34" s="17" t="n">
        <f aca="false">B34*'2. Собівартість'!$E$18</f>
        <v>1107820.54215</v>
      </c>
      <c r="E34" s="17" t="n">
        <f aca="false">C34-D34</f>
        <v>225512.791183333</v>
      </c>
      <c r="F34" s="17" t="n">
        <f aca="false">E34-$B$18</f>
        <v>172512.791183333</v>
      </c>
    </row>
    <row r="35" customFormat="false" ht="15" hidden="false" customHeight="false" outlineLevel="0" collapsed="false">
      <c r="A35" s="20" t="n">
        <v>30000</v>
      </c>
      <c r="B35" s="17" t="n">
        <f aca="false">A35/0.33</f>
        <v>90909.0909090909</v>
      </c>
      <c r="C35" s="17" t="n">
        <f aca="false">B35*$B$7</f>
        <v>2000000</v>
      </c>
      <c r="D35" s="17" t="n">
        <f aca="false">B35*'2. Собівартість'!$E$18</f>
        <v>1661730.813225</v>
      </c>
      <c r="E35" s="17" t="n">
        <f aca="false">C35-D35</f>
        <v>338269.186775</v>
      </c>
      <c r="F35" s="17" t="n">
        <f aca="false">E35-$B$18</f>
        <v>285269.186775</v>
      </c>
    </row>
    <row r="36" customFormat="false" ht="15" hidden="false" customHeight="false" outlineLevel="0" collapsed="false">
      <c r="A36" s="20" t="n">
        <v>50000</v>
      </c>
      <c r="B36" s="17" t="n">
        <f aca="false">A36/0.33</f>
        <v>151515.151515152</v>
      </c>
      <c r="C36" s="17" t="n">
        <f aca="false">B36*$B$7</f>
        <v>3333333.33333333</v>
      </c>
      <c r="D36" s="17" t="n">
        <f aca="false">B36*'2. Собівартість'!$E$18</f>
        <v>2769551.355375</v>
      </c>
      <c r="E36" s="17" t="n">
        <f aca="false">C36-D36</f>
        <v>563781.977958333</v>
      </c>
      <c r="F36" s="17" t="n">
        <f aca="false">E36-$B$18</f>
        <v>510781.977958333</v>
      </c>
    </row>
    <row r="37" customFormat="false" ht="15" hidden="false" customHeight="false" outlineLevel="0" collapsed="false">
      <c r="A37" s="20" t="n">
        <v>100000</v>
      </c>
      <c r="B37" s="17" t="n">
        <f aca="false">A37/0.33</f>
        <v>303030.303030303</v>
      </c>
      <c r="C37" s="17" t="n">
        <f aca="false">B37*$B$7</f>
        <v>6666666.66666667</v>
      </c>
      <c r="D37" s="17" t="n">
        <f aca="false">B37*'2. Собівартість'!$E$18</f>
        <v>5539102.71075</v>
      </c>
      <c r="E37" s="17" t="n">
        <f aca="false">C37-D37</f>
        <v>1127563.95591667</v>
      </c>
      <c r="F37" s="17" t="n">
        <f aca="false">E37-$B$18</f>
        <v>1074563.95591667</v>
      </c>
    </row>
    <row r="39" customFormat="false" ht="24.05" hidden="false" customHeight="true" outlineLevel="0" collapsed="false">
      <c r="A39" s="5" t="s">
        <v>538</v>
      </c>
      <c r="B39" s="5"/>
      <c r="C39" s="5"/>
      <c r="D39" s="5"/>
      <c r="E39" s="5"/>
      <c r="F39" s="5"/>
    </row>
  </sheetData>
  <mergeCells count="6">
    <mergeCell ref="A1:F1"/>
    <mergeCell ref="A2:F2"/>
    <mergeCell ref="A26:F26"/>
    <mergeCell ref="A28:F28"/>
    <mergeCell ref="A29:F29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78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4" t="s">
        <v>539</v>
      </c>
      <c r="B1" s="4"/>
      <c r="C1" s="4"/>
      <c r="D1" s="4"/>
      <c r="E1" s="4"/>
    </row>
    <row r="3" customFormat="false" ht="30" hidden="false" customHeight="true" outlineLevel="0" collapsed="false">
      <c r="A3" s="1" t="s">
        <v>540</v>
      </c>
      <c r="B3" s="1" t="s">
        <v>541</v>
      </c>
      <c r="C3" s="1" t="s">
        <v>542</v>
      </c>
      <c r="D3" s="1" t="s">
        <v>543</v>
      </c>
      <c r="E3" s="1" t="s">
        <v>544</v>
      </c>
    </row>
    <row r="4" customFormat="false" ht="33.75" hidden="false" customHeight="true" outlineLevel="0" collapsed="false">
      <c r="A4" s="8" t="n">
        <v>1</v>
      </c>
      <c r="B4" s="18" t="s">
        <v>545</v>
      </c>
      <c r="C4" s="3" t="s">
        <v>546</v>
      </c>
      <c r="D4" s="3" t="s">
        <v>547</v>
      </c>
      <c r="E4" s="8"/>
    </row>
    <row r="5" customFormat="false" ht="33.75" hidden="false" customHeight="true" outlineLevel="0" collapsed="false">
      <c r="A5" s="8" t="n">
        <v>2</v>
      </c>
      <c r="B5" s="18" t="s">
        <v>548</v>
      </c>
      <c r="C5" s="3" t="s">
        <v>549</v>
      </c>
      <c r="D5" s="3" t="s">
        <v>550</v>
      </c>
      <c r="E5" s="8"/>
    </row>
    <row r="6" customFormat="false" ht="33.75" hidden="false" customHeight="true" outlineLevel="0" collapsed="false">
      <c r="A6" s="8" t="n">
        <v>3</v>
      </c>
      <c r="B6" s="18" t="s">
        <v>551</v>
      </c>
      <c r="C6" s="3" t="s">
        <v>552</v>
      </c>
      <c r="D6" s="3" t="s">
        <v>553</v>
      </c>
      <c r="E6" s="8"/>
    </row>
    <row r="7" customFormat="false" ht="33.75" hidden="false" customHeight="true" outlineLevel="0" collapsed="false">
      <c r="A7" s="8" t="n">
        <v>4</v>
      </c>
      <c r="B7" s="18" t="s">
        <v>554</v>
      </c>
      <c r="C7" s="3" t="s">
        <v>555</v>
      </c>
      <c r="D7" s="3" t="s">
        <v>550</v>
      </c>
      <c r="E7" s="8"/>
    </row>
    <row r="8" customFormat="false" ht="33.75" hidden="false" customHeight="true" outlineLevel="0" collapsed="false">
      <c r="A8" s="8" t="n">
        <v>5</v>
      </c>
      <c r="B8" s="18" t="s">
        <v>556</v>
      </c>
      <c r="C8" s="3" t="s">
        <v>557</v>
      </c>
      <c r="D8" s="3" t="s">
        <v>558</v>
      </c>
      <c r="E8" s="8"/>
    </row>
    <row r="9" customFormat="false" ht="33.75" hidden="false" customHeight="true" outlineLevel="0" collapsed="false">
      <c r="A9" s="8" t="n">
        <v>6</v>
      </c>
      <c r="B9" s="18" t="s">
        <v>559</v>
      </c>
      <c r="C9" s="3" t="s">
        <v>560</v>
      </c>
      <c r="D9" s="3" t="s">
        <v>561</v>
      </c>
      <c r="E9" s="8"/>
    </row>
    <row r="10" customFormat="false" ht="33.75" hidden="false" customHeight="true" outlineLevel="0" collapsed="false">
      <c r="A10" s="8" t="n">
        <v>7</v>
      </c>
      <c r="B10" s="18" t="s">
        <v>562</v>
      </c>
      <c r="C10" s="3" t="s">
        <v>563</v>
      </c>
      <c r="D10" s="3" t="s">
        <v>550</v>
      </c>
      <c r="E10" s="8"/>
    </row>
    <row r="11" customFormat="false" ht="33.75" hidden="false" customHeight="true" outlineLevel="0" collapsed="false">
      <c r="A11" s="8" t="n">
        <v>8</v>
      </c>
      <c r="B11" s="18" t="s">
        <v>564</v>
      </c>
      <c r="C11" s="3" t="s">
        <v>565</v>
      </c>
      <c r="D11" s="3" t="s">
        <v>566</v>
      </c>
      <c r="E11" s="8"/>
    </row>
    <row r="12" customFormat="false" ht="33.75" hidden="false" customHeight="true" outlineLevel="0" collapsed="false">
      <c r="A12" s="8" t="n">
        <v>9</v>
      </c>
      <c r="B12" s="18" t="s">
        <v>567</v>
      </c>
      <c r="C12" s="3" t="s">
        <v>568</v>
      </c>
      <c r="D12" s="3" t="s">
        <v>569</v>
      </c>
      <c r="E12" s="8"/>
    </row>
    <row r="13" customFormat="false" ht="33.75" hidden="false" customHeight="true" outlineLevel="0" collapsed="false">
      <c r="A13" s="8" t="n">
        <v>10</v>
      </c>
      <c r="B13" s="18" t="s">
        <v>570</v>
      </c>
      <c r="C13" s="3" t="s">
        <v>571</v>
      </c>
      <c r="D13" s="3" t="s">
        <v>572</v>
      </c>
      <c r="E13" s="8"/>
    </row>
    <row r="14" customFormat="false" ht="33.75" hidden="false" customHeight="true" outlineLevel="0" collapsed="false">
      <c r="A14" s="8" t="n">
        <v>11</v>
      </c>
      <c r="B14" s="18" t="s">
        <v>573</v>
      </c>
      <c r="C14" s="3" t="s">
        <v>574</v>
      </c>
      <c r="D14" s="3" t="s">
        <v>575</v>
      </c>
      <c r="E14" s="8"/>
    </row>
    <row r="15" customFormat="false" ht="33.75" hidden="false" customHeight="true" outlineLevel="0" collapsed="false">
      <c r="A15" s="8" t="n">
        <v>12</v>
      </c>
      <c r="B15" s="18" t="s">
        <v>576</v>
      </c>
      <c r="C15" s="3" t="s">
        <v>577</v>
      </c>
      <c r="D15" s="3" t="s">
        <v>578</v>
      </c>
      <c r="E15" s="8"/>
    </row>
    <row r="16" customFormat="false" ht="33.75" hidden="false" customHeight="true" outlineLevel="0" collapsed="false">
      <c r="A16" s="8" t="n">
        <v>13</v>
      </c>
      <c r="B16" s="18" t="s">
        <v>579</v>
      </c>
      <c r="C16" s="3" t="s">
        <v>580</v>
      </c>
      <c r="D16" s="3" t="s">
        <v>581</v>
      </c>
      <c r="E16" s="8"/>
    </row>
    <row r="17" customFormat="false" ht="33.75" hidden="false" customHeight="true" outlineLevel="0" collapsed="false">
      <c r="A17" s="8" t="n">
        <v>14</v>
      </c>
      <c r="B17" s="18" t="s">
        <v>582</v>
      </c>
      <c r="C17" s="3" t="s">
        <v>583</v>
      </c>
      <c r="D17" s="3" t="s">
        <v>547</v>
      </c>
      <c r="E17" s="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2"/>
    <col collapsed="false" customWidth="true" hidden="false" outlineLevel="0" max="8" min="5" style="0" width="4"/>
  </cols>
  <sheetData>
    <row r="1" customFormat="false" ht="16.15" hidden="false" customHeight="false" outlineLevel="0" collapsed="false">
      <c r="A1" s="4" t="s">
        <v>584</v>
      </c>
      <c r="B1" s="4"/>
      <c r="C1" s="4"/>
      <c r="D1" s="4"/>
      <c r="E1" s="4"/>
      <c r="F1" s="4"/>
      <c r="G1" s="4"/>
      <c r="H1" s="4"/>
    </row>
    <row r="2" customFormat="false" ht="24.05" hidden="false" customHeight="true" outlineLevel="0" collapsed="false">
      <c r="A2" s="5" t="s">
        <v>585</v>
      </c>
      <c r="B2" s="5"/>
      <c r="C2" s="5"/>
      <c r="D2" s="5"/>
      <c r="E2" s="5"/>
      <c r="F2" s="5"/>
    </row>
    <row r="4" customFormat="false" ht="16.15" hidden="false" customHeight="false" outlineLevel="0" collapsed="false">
      <c r="A4" s="4" t="s">
        <v>586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1" t="s">
        <v>491</v>
      </c>
      <c r="B5" s="1" t="s">
        <v>492</v>
      </c>
      <c r="C5" s="1" t="s">
        <v>29</v>
      </c>
      <c r="D5" s="1" t="s">
        <v>587</v>
      </c>
      <c r="E5" s="1"/>
      <c r="F5" s="1"/>
      <c r="G5" s="1"/>
      <c r="H5" s="1"/>
    </row>
    <row r="6" customFormat="false" ht="25.5" hidden="false" customHeight="true" outlineLevel="0" collapsed="false">
      <c r="A6" s="3" t="s">
        <v>588</v>
      </c>
      <c r="B6" s="23" t="n">
        <v>0.4</v>
      </c>
      <c r="C6" s="8" t="s">
        <v>589</v>
      </c>
      <c r="D6" s="3" t="s">
        <v>590</v>
      </c>
      <c r="E6" s="8"/>
      <c r="F6" s="8"/>
      <c r="G6" s="8"/>
      <c r="H6" s="8"/>
    </row>
    <row r="7" customFormat="false" ht="25.5" hidden="false" customHeight="true" outlineLevel="0" collapsed="false">
      <c r="A7" s="3" t="s">
        <v>591</v>
      </c>
      <c r="B7" s="23" t="n">
        <v>2.1</v>
      </c>
      <c r="C7" s="8" t="s">
        <v>589</v>
      </c>
      <c r="D7" s="3" t="s">
        <v>592</v>
      </c>
      <c r="E7" s="8"/>
      <c r="F7" s="8"/>
      <c r="G7" s="8"/>
      <c r="H7" s="8"/>
    </row>
    <row r="8" customFormat="false" ht="25.5" hidden="false" customHeight="true" outlineLevel="0" collapsed="false">
      <c r="A8" s="3" t="s">
        <v>593</v>
      </c>
      <c r="B8" s="21" t="n">
        <f aca="false">IF(B7=0,0,B6/B7)</f>
        <v>0.19047619047619</v>
      </c>
      <c r="C8" s="8" t="s">
        <v>106</v>
      </c>
      <c r="D8" s="3" t="s">
        <v>594</v>
      </c>
      <c r="E8" s="8"/>
      <c r="F8" s="8"/>
      <c r="G8" s="8"/>
      <c r="H8" s="8"/>
    </row>
    <row r="9" customFormat="false" ht="25.5" hidden="false" customHeight="true" outlineLevel="0" collapsed="false">
      <c r="A9" s="3" t="s">
        <v>595</v>
      </c>
      <c r="B9" s="23" t="n">
        <v>0.15</v>
      </c>
      <c r="C9" s="8" t="s">
        <v>106</v>
      </c>
      <c r="D9" s="3" t="s">
        <v>596</v>
      </c>
      <c r="E9" s="8"/>
      <c r="F9" s="8"/>
      <c r="G9" s="8"/>
      <c r="H9" s="8"/>
    </row>
    <row r="10" customFormat="false" ht="25.5" hidden="false" customHeight="true" outlineLevel="0" collapsed="false">
      <c r="A10" s="3" t="s">
        <v>597</v>
      </c>
      <c r="B10" s="24" t="n">
        <f aca="false">B7*B9</f>
        <v>0.315</v>
      </c>
      <c r="C10" s="8" t="s">
        <v>589</v>
      </c>
      <c r="D10" s="3" t="s">
        <v>598</v>
      </c>
      <c r="E10" s="8"/>
      <c r="F10" s="8"/>
      <c r="G10" s="8"/>
      <c r="H10" s="8"/>
    </row>
    <row r="11" customFormat="false" ht="25.5" hidden="false" customHeight="true" outlineLevel="0" collapsed="false">
      <c r="A11" s="3" t="s">
        <v>599</v>
      </c>
      <c r="B11" s="24" t="n">
        <f aca="false">0.5-B10</f>
        <v>0.185</v>
      </c>
      <c r="C11" s="8" t="s">
        <v>589</v>
      </c>
      <c r="D11" s="3" t="s">
        <v>600</v>
      </c>
      <c r="E11" s="8"/>
      <c r="F11" s="8"/>
      <c r="G11" s="8"/>
      <c r="H11" s="8"/>
    </row>
    <row r="12" customFormat="false" ht="25.5" hidden="false" customHeight="true" outlineLevel="0" collapsed="false">
      <c r="A12" s="3" t="s">
        <v>601</v>
      </c>
      <c r="B12" s="24" t="n">
        <f aca="false">B7*15.44</f>
        <v>32.424</v>
      </c>
      <c r="C12" s="8" t="s">
        <v>602</v>
      </c>
      <c r="D12" s="3" t="s">
        <v>603</v>
      </c>
      <c r="E12" s="8"/>
      <c r="F12" s="8"/>
      <c r="G12" s="8"/>
      <c r="H12" s="8"/>
    </row>
    <row r="13" customFormat="false" ht="25.5" hidden="false" customHeight="true" outlineLevel="0" collapsed="false">
      <c r="A13" s="3" t="s">
        <v>604</v>
      </c>
      <c r="B13" s="25" t="n">
        <f aca="false">B12*20/1000</f>
        <v>0.64848</v>
      </c>
      <c r="C13" s="8" t="s">
        <v>37</v>
      </c>
      <c r="D13" s="3" t="s">
        <v>605</v>
      </c>
      <c r="E13" s="8"/>
      <c r="F13" s="8"/>
      <c r="G13" s="8"/>
      <c r="H13" s="8"/>
    </row>
    <row r="15" customFormat="false" ht="16.15" hidden="false" customHeight="false" outlineLevel="0" collapsed="false">
      <c r="A15" s="4" t="s">
        <v>606</v>
      </c>
      <c r="B15" s="4"/>
      <c r="C15" s="4"/>
      <c r="D15" s="4"/>
      <c r="E15" s="4"/>
      <c r="F15" s="4"/>
      <c r="G15" s="4"/>
      <c r="H15" s="4"/>
    </row>
    <row r="16" customFormat="false" ht="30" hidden="false" customHeight="true" outlineLevel="0" collapsed="false">
      <c r="A16" s="1" t="s">
        <v>26</v>
      </c>
      <c r="B16" s="1" t="s">
        <v>607</v>
      </c>
      <c r="C16" s="1" t="s">
        <v>608</v>
      </c>
      <c r="D16" s="1" t="s">
        <v>29</v>
      </c>
      <c r="E16" s="1" t="s">
        <v>609</v>
      </c>
      <c r="F16" s="1" t="s">
        <v>610</v>
      </c>
      <c r="G16" s="1" t="s">
        <v>33</v>
      </c>
      <c r="H16" s="1"/>
    </row>
    <row r="17" customFormat="false" ht="27.75" hidden="false" customHeight="true" outlineLevel="0" collapsed="false">
      <c r="A17" s="3" t="s">
        <v>455</v>
      </c>
      <c r="B17" s="8" t="s">
        <v>611</v>
      </c>
      <c r="C17" s="26" t="n">
        <v>20</v>
      </c>
      <c r="D17" s="8" t="s">
        <v>87</v>
      </c>
      <c r="E17" s="9" t="n">
        <v>0.15</v>
      </c>
      <c r="F17" s="10" t="n">
        <f aca="false">C17*E17</f>
        <v>3</v>
      </c>
      <c r="G17" s="3" t="s">
        <v>612</v>
      </c>
      <c r="H17" s="8"/>
    </row>
    <row r="18" customFormat="false" ht="27.75" hidden="false" customHeight="true" outlineLevel="0" collapsed="false">
      <c r="A18" s="3" t="s">
        <v>613</v>
      </c>
      <c r="B18" s="8" t="s">
        <v>614</v>
      </c>
      <c r="C18" s="26" t="n">
        <v>0.25</v>
      </c>
      <c r="D18" s="8" t="s">
        <v>37</v>
      </c>
      <c r="E18" s="9" t="n">
        <v>300</v>
      </c>
      <c r="F18" s="10" t="n">
        <f aca="false">C18*E18</f>
        <v>75</v>
      </c>
      <c r="G18" s="3" t="s">
        <v>615</v>
      </c>
      <c r="H18" s="8"/>
    </row>
    <row r="19" customFormat="false" ht="27.75" hidden="false" customHeight="true" outlineLevel="0" collapsed="false">
      <c r="A19" s="3" t="s">
        <v>616</v>
      </c>
      <c r="B19" s="8"/>
      <c r="C19" s="25" t="n">
        <f aca="false">B13</f>
        <v>0.64848</v>
      </c>
      <c r="D19" s="8" t="s">
        <v>37</v>
      </c>
      <c r="E19" s="9" t="n">
        <v>31</v>
      </c>
      <c r="F19" s="10" t="n">
        <f aca="false">C19*E19</f>
        <v>20.10288</v>
      </c>
      <c r="G19" s="3" t="s">
        <v>617</v>
      </c>
      <c r="H19" s="8"/>
    </row>
    <row r="20" customFormat="false" ht="27.75" hidden="false" customHeight="true" outlineLevel="0" collapsed="false">
      <c r="A20" s="3" t="s">
        <v>618</v>
      </c>
      <c r="B20" s="8" t="s">
        <v>619</v>
      </c>
      <c r="C20" s="26" t="n">
        <v>0.015</v>
      </c>
      <c r="D20" s="8" t="s">
        <v>37</v>
      </c>
      <c r="E20" s="9" t="n">
        <v>800</v>
      </c>
      <c r="F20" s="10" t="n">
        <f aca="false">C20*E20</f>
        <v>12</v>
      </c>
      <c r="G20" s="3" t="s">
        <v>620</v>
      </c>
      <c r="H20" s="8"/>
    </row>
    <row r="21" customFormat="false" ht="27.75" hidden="false" customHeight="true" outlineLevel="0" collapsed="false">
      <c r="A21" s="3" t="s">
        <v>621</v>
      </c>
      <c r="B21" s="8" t="s">
        <v>622</v>
      </c>
      <c r="C21" s="26" t="n">
        <v>0.02</v>
      </c>
      <c r="D21" s="8" t="s">
        <v>37</v>
      </c>
      <c r="E21" s="9" t="n">
        <v>115</v>
      </c>
      <c r="F21" s="10" t="n">
        <f aca="false">C21*E21</f>
        <v>2.3</v>
      </c>
      <c r="G21" s="3" t="s">
        <v>623</v>
      </c>
      <c r="H21" s="8"/>
    </row>
    <row r="22" customFormat="false" ht="15" hidden="false" customHeight="false" outlineLevel="0" collapsed="false">
      <c r="A22" s="11" t="s">
        <v>624</v>
      </c>
      <c r="B22" s="12"/>
      <c r="C22" s="12"/>
      <c r="D22" s="12"/>
      <c r="E22" s="12"/>
      <c r="F22" s="13" t="n">
        <f aca="false">SUM(F17:F21)</f>
        <v>112.40288</v>
      </c>
      <c r="G22" s="12"/>
      <c r="H22" s="12"/>
    </row>
    <row r="23" customFormat="false" ht="35.5" hidden="false" customHeight="true" outlineLevel="0" collapsed="false">
      <c r="A23" s="5" t="s">
        <v>625</v>
      </c>
      <c r="B23" s="5"/>
      <c r="C23" s="5"/>
      <c r="D23" s="5"/>
      <c r="E23" s="5"/>
      <c r="F23" s="5"/>
    </row>
    <row r="25" customFormat="false" ht="16.15" hidden="false" customHeight="false" outlineLevel="0" collapsed="false">
      <c r="A25" s="4" t="s">
        <v>626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1" t="s">
        <v>26</v>
      </c>
      <c r="B26" s="1" t="s">
        <v>607</v>
      </c>
      <c r="C26" s="1" t="s">
        <v>608</v>
      </c>
      <c r="D26" s="1" t="s">
        <v>29</v>
      </c>
      <c r="E26" s="1" t="s">
        <v>609</v>
      </c>
      <c r="F26" s="1" t="s">
        <v>610</v>
      </c>
      <c r="G26" s="1" t="s">
        <v>33</v>
      </c>
      <c r="H26" s="1"/>
    </row>
    <row r="27" customFormat="false" ht="27.75" hidden="false" customHeight="true" outlineLevel="0" collapsed="false">
      <c r="A27" s="3" t="s">
        <v>627</v>
      </c>
      <c r="B27" s="8"/>
      <c r="C27" s="27" t="n">
        <f aca="false">20*B9</f>
        <v>3</v>
      </c>
      <c r="D27" s="8" t="s">
        <v>87</v>
      </c>
      <c r="E27" s="10" t="n">
        <f aca="false">F22/20</f>
        <v>5.620144</v>
      </c>
      <c r="F27" s="10" t="n">
        <f aca="false">C27*E27</f>
        <v>16.860432</v>
      </c>
      <c r="G27" s="3" t="s">
        <v>628</v>
      </c>
      <c r="H27" s="8"/>
    </row>
    <row r="28" customFormat="false" ht="27.75" hidden="false" customHeight="true" outlineLevel="0" collapsed="false">
      <c r="A28" s="3" t="s">
        <v>629</v>
      </c>
      <c r="B28" s="8"/>
      <c r="C28" s="27" t="n">
        <f aca="false">20-C27</f>
        <v>17</v>
      </c>
      <c r="D28" s="8" t="s">
        <v>87</v>
      </c>
      <c r="E28" s="9" t="n">
        <v>0.15</v>
      </c>
      <c r="F28" s="10" t="n">
        <f aca="false">C28*E28</f>
        <v>2.55</v>
      </c>
      <c r="G28" s="3" t="s">
        <v>630</v>
      </c>
      <c r="H28" s="8"/>
    </row>
    <row r="29" customFormat="false" ht="27.75" hidden="false" customHeight="true" outlineLevel="0" collapsed="false">
      <c r="A29" s="3" t="s">
        <v>616</v>
      </c>
      <c r="B29" s="8" t="s">
        <v>631</v>
      </c>
      <c r="C29" s="26" t="n">
        <v>1.3</v>
      </c>
      <c r="D29" s="8" t="s">
        <v>37</v>
      </c>
      <c r="E29" s="9" t="n">
        <v>31</v>
      </c>
      <c r="F29" s="10" t="n">
        <f aca="false">C29*E29</f>
        <v>40.3</v>
      </c>
      <c r="G29" s="3" t="s">
        <v>632</v>
      </c>
      <c r="H29" s="8"/>
    </row>
    <row r="30" customFormat="false" ht="27.75" hidden="false" customHeight="true" outlineLevel="0" collapsed="false">
      <c r="A30" s="3" t="s">
        <v>621</v>
      </c>
      <c r="B30" s="8" t="s">
        <v>619</v>
      </c>
      <c r="C30" s="26" t="n">
        <v>0.015</v>
      </c>
      <c r="D30" s="8" t="s">
        <v>37</v>
      </c>
      <c r="E30" s="9" t="n">
        <v>115</v>
      </c>
      <c r="F30" s="10" t="n">
        <f aca="false">C30*E30</f>
        <v>1.725</v>
      </c>
      <c r="G30" s="3" t="s">
        <v>633</v>
      </c>
      <c r="H30" s="8"/>
    </row>
    <row r="31" customFormat="false" ht="27.75" hidden="false" customHeight="true" outlineLevel="0" collapsed="false">
      <c r="A31" s="3" t="s">
        <v>161</v>
      </c>
      <c r="B31" s="8" t="s">
        <v>634</v>
      </c>
      <c r="C31" s="26" t="n">
        <v>0.0064</v>
      </c>
      <c r="D31" s="8" t="s">
        <v>37</v>
      </c>
      <c r="E31" s="9" t="n">
        <v>1090</v>
      </c>
      <c r="F31" s="10" t="n">
        <f aca="false">C31*E31</f>
        <v>6.976</v>
      </c>
      <c r="G31" s="3" t="s">
        <v>635</v>
      </c>
      <c r="H31" s="8"/>
    </row>
    <row r="32" customFormat="false" ht="27.75" hidden="false" customHeight="true" outlineLevel="0" collapsed="false">
      <c r="A32" s="3" t="s">
        <v>43</v>
      </c>
      <c r="B32" s="8" t="s">
        <v>636</v>
      </c>
      <c r="C32" s="26" t="n">
        <v>0.08</v>
      </c>
      <c r="D32" s="8" t="s">
        <v>37</v>
      </c>
      <c r="E32" s="9" t="n">
        <v>900</v>
      </c>
      <c r="F32" s="10" t="n">
        <f aca="false">C32*E32</f>
        <v>72</v>
      </c>
      <c r="G32" s="3" t="s">
        <v>637</v>
      </c>
      <c r="H32" s="8"/>
    </row>
    <row r="33" customFormat="false" ht="27.75" hidden="false" customHeight="true" outlineLevel="0" collapsed="false">
      <c r="A33" s="3" t="s">
        <v>638</v>
      </c>
      <c r="B33" s="8" t="s">
        <v>639</v>
      </c>
      <c r="C33" s="26" t="n">
        <v>0.0016</v>
      </c>
      <c r="D33" s="8" t="s">
        <v>37</v>
      </c>
      <c r="E33" s="9" t="n">
        <v>2000</v>
      </c>
      <c r="F33" s="10" t="n">
        <f aca="false">C33*E33</f>
        <v>3.2</v>
      </c>
      <c r="G33" s="3" t="s">
        <v>640</v>
      </c>
      <c r="H33" s="8"/>
    </row>
    <row r="34" customFormat="false" ht="27.75" hidden="false" customHeight="true" outlineLevel="0" collapsed="false">
      <c r="A34" s="3" t="s">
        <v>55</v>
      </c>
      <c r="B34" s="8" t="s">
        <v>641</v>
      </c>
      <c r="C34" s="26" t="n">
        <v>0.0004</v>
      </c>
      <c r="D34" s="8" t="s">
        <v>37</v>
      </c>
      <c r="E34" s="9" t="n">
        <v>1200</v>
      </c>
      <c r="F34" s="10" t="n">
        <f aca="false">C34*E34</f>
        <v>0.48</v>
      </c>
      <c r="G34" s="3" t="s">
        <v>642</v>
      </c>
      <c r="H34" s="8"/>
    </row>
    <row r="35" customFormat="false" ht="27.75" hidden="false" customHeight="true" outlineLevel="0" collapsed="false">
      <c r="A35" s="3" t="s">
        <v>58</v>
      </c>
      <c r="B35" s="8" t="s">
        <v>641</v>
      </c>
      <c r="C35" s="26" t="n">
        <v>0.0004</v>
      </c>
      <c r="D35" s="8" t="s">
        <v>37</v>
      </c>
      <c r="E35" s="9" t="n">
        <v>1300</v>
      </c>
      <c r="F35" s="10" t="n">
        <f aca="false">C35*E35</f>
        <v>0.52</v>
      </c>
      <c r="G35" s="3" t="s">
        <v>643</v>
      </c>
      <c r="H35" s="8"/>
    </row>
    <row r="36" customFormat="false" ht="27.75" hidden="false" customHeight="true" outlineLevel="0" collapsed="false">
      <c r="A36" s="3" t="s">
        <v>644</v>
      </c>
      <c r="B36" s="8" t="s">
        <v>645</v>
      </c>
      <c r="C36" s="26" t="n">
        <v>4E-005</v>
      </c>
      <c r="D36" s="8" t="s">
        <v>37</v>
      </c>
      <c r="E36" s="9" t="n">
        <v>500</v>
      </c>
      <c r="F36" s="10" t="n">
        <f aca="false">C36*E36</f>
        <v>0.02</v>
      </c>
      <c r="G36" s="3" t="s">
        <v>646</v>
      </c>
      <c r="H36" s="8"/>
    </row>
    <row r="37" customFormat="false" ht="27.75" hidden="false" customHeight="true" outlineLevel="0" collapsed="false">
      <c r="A37" s="3" t="s">
        <v>80</v>
      </c>
      <c r="B37" s="8" t="s">
        <v>647</v>
      </c>
      <c r="C37" s="26" t="n">
        <v>0.004</v>
      </c>
      <c r="D37" s="8" t="s">
        <v>37</v>
      </c>
      <c r="E37" s="9" t="n">
        <v>350</v>
      </c>
      <c r="F37" s="10" t="n">
        <f aca="false">C37*E37</f>
        <v>1.4</v>
      </c>
      <c r="G37" s="3" t="s">
        <v>648</v>
      </c>
      <c r="H37" s="8"/>
    </row>
    <row r="38" customFormat="false" ht="27.75" hidden="false" customHeight="true" outlineLevel="0" collapsed="false">
      <c r="A38" s="3" t="s">
        <v>77</v>
      </c>
      <c r="B38" s="8" t="s">
        <v>649</v>
      </c>
      <c r="C38" s="26" t="n">
        <v>0.003</v>
      </c>
      <c r="D38" s="8" t="s">
        <v>37</v>
      </c>
      <c r="E38" s="9" t="n">
        <v>299</v>
      </c>
      <c r="F38" s="10" t="n">
        <f aca="false">C38*E38</f>
        <v>0.897</v>
      </c>
      <c r="G38" s="3" t="s">
        <v>650</v>
      </c>
      <c r="H38" s="8"/>
    </row>
    <row r="39" customFormat="false" ht="15" hidden="false" customHeight="false" outlineLevel="0" collapsed="false">
      <c r="A39" s="11" t="s">
        <v>651</v>
      </c>
      <c r="B39" s="12"/>
      <c r="C39" s="12"/>
      <c r="D39" s="12"/>
      <c r="E39" s="12"/>
      <c r="F39" s="13" t="n">
        <f aca="false">SUM(F27:F38)</f>
        <v>146.928432</v>
      </c>
      <c r="G39" s="12"/>
      <c r="H39" s="12"/>
    </row>
    <row r="41" customFormat="false" ht="16.15" hidden="false" customHeight="false" outlineLevel="0" collapsed="false">
      <c r="A41" s="4" t="s">
        <v>652</v>
      </c>
      <c r="B41" s="4"/>
      <c r="C41" s="4"/>
      <c r="D41" s="4"/>
      <c r="E41" s="4"/>
      <c r="F41" s="4"/>
      <c r="G41" s="4"/>
      <c r="H41" s="4"/>
    </row>
    <row r="42" customFormat="false" ht="30" hidden="false" customHeight="true" outlineLevel="0" collapsed="false">
      <c r="A42" s="1" t="s">
        <v>491</v>
      </c>
      <c r="B42" s="1" t="s">
        <v>492</v>
      </c>
      <c r="C42" s="1" t="s">
        <v>29</v>
      </c>
      <c r="D42" s="1" t="s">
        <v>1</v>
      </c>
      <c r="E42" s="1"/>
      <c r="F42" s="1"/>
      <c r="G42" s="1"/>
      <c r="H42" s="1"/>
    </row>
    <row r="43" customFormat="false" ht="27.75" hidden="false" customHeight="true" outlineLevel="0" collapsed="false">
      <c r="A43" s="3" t="s">
        <v>653</v>
      </c>
      <c r="B43" s="10" t="n">
        <f aca="false">F22</f>
        <v>112.40288</v>
      </c>
      <c r="C43" s="8" t="s">
        <v>103</v>
      </c>
      <c r="D43" s="3" t="s">
        <v>654</v>
      </c>
      <c r="E43" s="8"/>
      <c r="F43" s="8"/>
      <c r="G43" s="8"/>
      <c r="H43" s="8"/>
    </row>
    <row r="44" customFormat="false" ht="27.75" hidden="false" customHeight="true" outlineLevel="0" collapsed="false">
      <c r="A44" s="3" t="s">
        <v>655</v>
      </c>
      <c r="B44" s="10" t="n">
        <f aca="false">F39</f>
        <v>146.928432</v>
      </c>
      <c r="C44" s="8" t="s">
        <v>103</v>
      </c>
      <c r="D44" s="3" t="s">
        <v>656</v>
      </c>
      <c r="E44" s="8"/>
      <c r="F44" s="8"/>
      <c r="G44" s="8"/>
      <c r="H44" s="8"/>
    </row>
    <row r="45" customFormat="false" ht="27.75" hidden="false" customHeight="true" outlineLevel="0" collapsed="false">
      <c r="A45" s="3" t="s">
        <v>657</v>
      </c>
      <c r="B45" s="10" t="n">
        <f aca="false">B44/20</f>
        <v>7.3464216</v>
      </c>
      <c r="C45" s="8" t="s">
        <v>658</v>
      </c>
      <c r="D45" s="3" t="s">
        <v>659</v>
      </c>
      <c r="E45" s="8"/>
      <c r="F45" s="8"/>
      <c r="G45" s="8"/>
      <c r="H45" s="8"/>
    </row>
    <row r="46" customFormat="false" ht="27.75" hidden="false" customHeight="true" outlineLevel="0" collapsed="false">
      <c r="A46" s="3" t="s">
        <v>660</v>
      </c>
      <c r="B46" s="10" t="n">
        <f aca="false">B45*0.5</f>
        <v>3.6732108</v>
      </c>
      <c r="C46" s="8" t="s">
        <v>103</v>
      </c>
      <c r="D46" s="3" t="s">
        <v>661</v>
      </c>
      <c r="E46" s="8"/>
      <c r="F46" s="8"/>
      <c r="G46" s="8"/>
      <c r="H46" s="8"/>
    </row>
    <row r="47" customFormat="false" ht="27.75" hidden="false" customHeight="true" outlineLevel="0" collapsed="false">
      <c r="A47" s="3" t="s">
        <v>597</v>
      </c>
      <c r="B47" s="24" t="n">
        <f aca="false">B10</f>
        <v>0.315</v>
      </c>
      <c r="C47" s="8" t="s">
        <v>589</v>
      </c>
      <c r="D47" s="3" t="s">
        <v>662</v>
      </c>
      <c r="E47" s="8"/>
      <c r="F47" s="8"/>
      <c r="G47" s="8"/>
      <c r="H47" s="8"/>
    </row>
    <row r="48" customFormat="false" ht="27.75" hidden="false" customHeight="true" outlineLevel="0" collapsed="false">
      <c r="A48" s="3" t="s">
        <v>599</v>
      </c>
      <c r="B48" s="24" t="n">
        <f aca="false">B11</f>
        <v>0.185</v>
      </c>
      <c r="C48" s="8" t="s">
        <v>589</v>
      </c>
      <c r="D48" s="3" t="s">
        <v>663</v>
      </c>
      <c r="E48" s="8"/>
      <c r="F48" s="8"/>
      <c r="G48" s="8"/>
      <c r="H48" s="8"/>
    </row>
    <row r="49" customFormat="false" ht="27.75" hidden="false" customHeight="true" outlineLevel="0" collapsed="false">
      <c r="A49" s="3" t="s">
        <v>664</v>
      </c>
      <c r="B49" s="20" t="n">
        <v>320</v>
      </c>
      <c r="C49" s="8" t="s">
        <v>665</v>
      </c>
      <c r="D49" s="3" t="s">
        <v>666</v>
      </c>
      <c r="E49" s="8"/>
      <c r="F49" s="8"/>
      <c r="G49" s="8"/>
      <c r="H49" s="8"/>
    </row>
    <row r="50" customFormat="false" ht="27.75" hidden="false" customHeight="true" outlineLevel="0" collapsed="false">
      <c r="A50" s="3" t="s">
        <v>616</v>
      </c>
      <c r="B50" s="20" t="n">
        <v>65</v>
      </c>
      <c r="C50" s="8" t="s">
        <v>602</v>
      </c>
      <c r="D50" s="3" t="s">
        <v>667</v>
      </c>
      <c r="E50" s="8"/>
      <c r="F50" s="8"/>
      <c r="G50" s="8"/>
      <c r="H50" s="8"/>
    </row>
    <row r="51" customFormat="false" ht="27.75" hidden="false" customHeight="true" outlineLevel="0" collapsed="false">
      <c r="A51" s="3" t="s">
        <v>668</v>
      </c>
      <c r="B51" s="21" t="n">
        <f aca="false">B9</f>
        <v>0.15</v>
      </c>
      <c r="C51" s="8" t="s">
        <v>106</v>
      </c>
      <c r="D51" s="3" t="s">
        <v>669</v>
      </c>
      <c r="E51" s="8"/>
      <c r="F51" s="8"/>
      <c r="G51" s="8"/>
      <c r="H51" s="8"/>
    </row>
    <row r="53" customFormat="false" ht="15" hidden="false" customHeight="true" outlineLevel="0" collapsed="false">
      <c r="A53" s="5" t="s">
        <v>670</v>
      </c>
      <c r="B53" s="5"/>
      <c r="C53" s="5"/>
      <c r="D53" s="5"/>
      <c r="E53" s="5"/>
      <c r="F53" s="5"/>
    </row>
    <row r="54" customFormat="false" ht="24.05" hidden="false" customHeight="true" outlineLevel="0" collapsed="false">
      <c r="A54" s="5" t="s">
        <v>671</v>
      </c>
      <c r="B54" s="5"/>
      <c r="C54" s="5"/>
      <c r="D54" s="5"/>
      <c r="E54" s="5"/>
      <c r="F54" s="5"/>
    </row>
    <row r="55" customFormat="false" ht="24.05" hidden="false" customHeight="true" outlineLevel="0" collapsed="false">
      <c r="A55" s="5" t="s">
        <v>672</v>
      </c>
      <c r="B55" s="5"/>
      <c r="C55" s="5"/>
      <c r="D55" s="5"/>
      <c r="E55" s="5"/>
      <c r="F55" s="5"/>
    </row>
    <row r="56" customFormat="false" ht="24.05" hidden="false" customHeight="true" outlineLevel="0" collapsed="false">
      <c r="A56" s="5" t="s">
        <v>673</v>
      </c>
      <c r="B56" s="5"/>
      <c r="C56" s="5"/>
      <c r="D56" s="5"/>
      <c r="E56" s="5"/>
      <c r="F56" s="5"/>
    </row>
    <row r="57" customFormat="false" ht="24.05" hidden="false" customHeight="true" outlineLevel="0" collapsed="false">
      <c r="A57" s="5" t="s">
        <v>674</v>
      </c>
      <c r="B57" s="5"/>
      <c r="C57" s="5"/>
      <c r="D57" s="5"/>
      <c r="E57" s="5"/>
      <c r="F57" s="5"/>
    </row>
    <row r="58" customFormat="false" ht="24.05" hidden="false" customHeight="true" outlineLevel="0" collapsed="false">
      <c r="A58" s="5" t="s">
        <v>675</v>
      </c>
      <c r="B58" s="5"/>
      <c r="C58" s="5"/>
      <c r="D58" s="5"/>
      <c r="E58" s="5"/>
      <c r="F58" s="5"/>
    </row>
    <row r="59" customFormat="false" ht="35.5" hidden="false" customHeight="true" outlineLevel="0" collapsed="false">
      <c r="A59" s="5" t="s">
        <v>676</v>
      </c>
      <c r="B59" s="5"/>
      <c r="C59" s="5"/>
      <c r="D59" s="5"/>
      <c r="E59" s="5"/>
      <c r="F59" s="5"/>
    </row>
  </sheetData>
  <mergeCells count="14">
    <mergeCell ref="A1:H1"/>
    <mergeCell ref="A2:F2"/>
    <mergeCell ref="A4:H4"/>
    <mergeCell ref="A15:H15"/>
    <mergeCell ref="A23:F23"/>
    <mergeCell ref="A25:H25"/>
    <mergeCell ref="A41:H41"/>
    <mergeCell ref="A53:F53"/>
    <mergeCell ref="A54:F54"/>
    <mergeCell ref="A55:F55"/>
    <mergeCell ref="A56:F56"/>
    <mergeCell ref="A57:F57"/>
    <mergeCell ref="A58:F58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58"/>
    <col collapsed="false" customWidth="true" hidden="false" outlineLevel="0" max="8" min="5" style="0" width="4"/>
  </cols>
  <sheetData>
    <row r="1" customFormat="false" ht="16.15" hidden="false" customHeight="false" outlineLevel="0" collapsed="false">
      <c r="A1" s="4" t="s">
        <v>677</v>
      </c>
      <c r="B1" s="4"/>
      <c r="C1" s="4"/>
      <c r="D1" s="4"/>
      <c r="E1" s="4"/>
      <c r="F1" s="4"/>
      <c r="G1" s="4"/>
      <c r="H1" s="4"/>
    </row>
    <row r="2" customFormat="false" ht="24.05" hidden="false" customHeight="true" outlineLevel="0" collapsed="false">
      <c r="A2" s="5" t="s">
        <v>678</v>
      </c>
      <c r="B2" s="5"/>
      <c r="C2" s="5"/>
      <c r="D2" s="5"/>
      <c r="E2" s="5"/>
      <c r="F2" s="5"/>
    </row>
    <row r="4" customFormat="false" ht="16.15" hidden="false" customHeight="false" outlineLevel="0" collapsed="false">
      <c r="A4" s="4" t="s">
        <v>679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1" t="s">
        <v>134</v>
      </c>
      <c r="B5" s="1" t="s">
        <v>680</v>
      </c>
      <c r="C5" s="1" t="s">
        <v>681</v>
      </c>
      <c r="D5" s="1" t="s">
        <v>396</v>
      </c>
      <c r="E5" s="1" t="s">
        <v>159</v>
      </c>
      <c r="F5" s="1" t="s">
        <v>682</v>
      </c>
      <c r="G5" s="1" t="s">
        <v>33</v>
      </c>
      <c r="H5" s="1"/>
    </row>
    <row r="6" customFormat="false" ht="31.5" hidden="false" customHeight="true" outlineLevel="0" collapsed="false">
      <c r="A6" s="28" t="s">
        <v>161</v>
      </c>
      <c r="B6" s="3" t="s">
        <v>683</v>
      </c>
      <c r="C6" s="29" t="s">
        <v>684</v>
      </c>
      <c r="D6" s="3" t="s">
        <v>685</v>
      </c>
      <c r="E6" s="3" t="s">
        <v>167</v>
      </c>
      <c r="F6" s="3" t="s">
        <v>686</v>
      </c>
      <c r="G6" s="3" t="s">
        <v>687</v>
      </c>
    </row>
    <row r="7" customFormat="false" ht="31.5" hidden="false" customHeight="true" outlineLevel="0" collapsed="false">
      <c r="A7" s="28" t="s">
        <v>688</v>
      </c>
      <c r="B7" s="3" t="s">
        <v>689</v>
      </c>
      <c r="C7" s="29" t="s">
        <v>690</v>
      </c>
      <c r="D7" s="3" t="s">
        <v>691</v>
      </c>
      <c r="E7" s="3" t="s">
        <v>692</v>
      </c>
      <c r="F7" s="3" t="s">
        <v>693</v>
      </c>
      <c r="G7" s="3" t="s">
        <v>694</v>
      </c>
    </row>
    <row r="8" customFormat="false" ht="31.5" hidden="false" customHeight="true" outlineLevel="0" collapsed="false">
      <c r="A8" s="28" t="s">
        <v>43</v>
      </c>
      <c r="B8" s="3" t="s">
        <v>689</v>
      </c>
      <c r="C8" s="29" t="s">
        <v>695</v>
      </c>
      <c r="D8" s="3" t="s">
        <v>199</v>
      </c>
      <c r="E8" s="3" t="s">
        <v>167</v>
      </c>
      <c r="F8" s="3" t="s">
        <v>696</v>
      </c>
      <c r="G8" s="3" t="s">
        <v>697</v>
      </c>
    </row>
    <row r="9" customFormat="false" ht="31.5" hidden="false" customHeight="true" outlineLevel="0" collapsed="false">
      <c r="A9" s="28" t="s">
        <v>201</v>
      </c>
      <c r="B9" s="3" t="s">
        <v>698</v>
      </c>
      <c r="C9" s="29" t="s">
        <v>699</v>
      </c>
      <c r="D9" s="3" t="s">
        <v>189</v>
      </c>
      <c r="E9" s="3" t="s">
        <v>190</v>
      </c>
      <c r="F9" s="3" t="s">
        <v>696</v>
      </c>
      <c r="G9" s="3" t="s">
        <v>700</v>
      </c>
    </row>
    <row r="10" customFormat="false" ht="31.5" hidden="false" customHeight="true" outlineLevel="0" collapsed="false">
      <c r="A10" s="28" t="s">
        <v>638</v>
      </c>
      <c r="B10" s="3" t="s">
        <v>701</v>
      </c>
      <c r="C10" s="29" t="s">
        <v>702</v>
      </c>
      <c r="D10" s="3" t="s">
        <v>703</v>
      </c>
      <c r="E10" s="3" t="s">
        <v>167</v>
      </c>
      <c r="F10" s="3" t="s">
        <v>704</v>
      </c>
      <c r="G10" s="3" t="s">
        <v>705</v>
      </c>
    </row>
    <row r="11" customFormat="false" ht="31.5" hidden="false" customHeight="true" outlineLevel="0" collapsed="false">
      <c r="A11" s="28" t="s">
        <v>706</v>
      </c>
      <c r="B11" s="3" t="s">
        <v>707</v>
      </c>
      <c r="C11" s="29" t="s">
        <v>708</v>
      </c>
      <c r="D11" s="3" t="s">
        <v>709</v>
      </c>
      <c r="E11" s="3" t="s">
        <v>167</v>
      </c>
      <c r="F11" s="3" t="s">
        <v>710</v>
      </c>
      <c r="G11" s="3" t="s">
        <v>711</v>
      </c>
    </row>
    <row r="12" customFormat="false" ht="31.5" hidden="false" customHeight="true" outlineLevel="0" collapsed="false">
      <c r="A12" s="28" t="s">
        <v>58</v>
      </c>
      <c r="B12" s="3" t="s">
        <v>712</v>
      </c>
      <c r="C12" s="29" t="s">
        <v>713</v>
      </c>
      <c r="D12" s="3" t="s">
        <v>714</v>
      </c>
      <c r="E12" s="3" t="s">
        <v>167</v>
      </c>
      <c r="F12" s="3" t="s">
        <v>710</v>
      </c>
      <c r="G12" s="3" t="s">
        <v>715</v>
      </c>
    </row>
    <row r="13" customFormat="false" ht="31.5" hidden="false" customHeight="true" outlineLevel="0" collapsed="false">
      <c r="A13" s="28" t="s">
        <v>716</v>
      </c>
      <c r="B13" s="3" t="s">
        <v>717</v>
      </c>
      <c r="C13" s="29" t="s">
        <v>718</v>
      </c>
      <c r="D13" s="3" t="s">
        <v>189</v>
      </c>
      <c r="E13" s="3" t="s">
        <v>719</v>
      </c>
      <c r="F13" s="3" t="s">
        <v>194</v>
      </c>
      <c r="G13" s="3" t="s">
        <v>720</v>
      </c>
    </row>
    <row r="14" customFormat="false" ht="31.5" hidden="false" customHeight="true" outlineLevel="0" collapsed="false">
      <c r="A14" s="28" t="s">
        <v>80</v>
      </c>
      <c r="B14" s="3" t="s">
        <v>721</v>
      </c>
      <c r="C14" s="29" t="s">
        <v>722</v>
      </c>
      <c r="D14" s="3" t="s">
        <v>723</v>
      </c>
      <c r="E14" s="3" t="s">
        <v>296</v>
      </c>
      <c r="F14" s="3" t="s">
        <v>724</v>
      </c>
      <c r="G14" s="3" t="s">
        <v>725</v>
      </c>
    </row>
    <row r="15" customFormat="false" ht="31.5" hidden="false" customHeight="true" outlineLevel="0" collapsed="false">
      <c r="A15" s="28" t="s">
        <v>77</v>
      </c>
      <c r="B15" s="3" t="s">
        <v>721</v>
      </c>
      <c r="C15" s="29" t="s">
        <v>294</v>
      </c>
      <c r="D15" s="3" t="s">
        <v>726</v>
      </c>
      <c r="E15" s="3" t="s">
        <v>296</v>
      </c>
      <c r="F15" s="3" t="s">
        <v>727</v>
      </c>
      <c r="G15" s="3" t="s">
        <v>728</v>
      </c>
    </row>
    <row r="16" customFormat="false" ht="31.5" hidden="false" customHeight="true" outlineLevel="0" collapsed="false">
      <c r="A16" s="28" t="s">
        <v>64</v>
      </c>
      <c r="B16" s="3" t="s">
        <v>729</v>
      </c>
      <c r="C16" s="29" t="s">
        <v>730</v>
      </c>
      <c r="D16" s="3" t="s">
        <v>731</v>
      </c>
      <c r="E16" s="3" t="s">
        <v>167</v>
      </c>
      <c r="F16" s="3" t="s">
        <v>732</v>
      </c>
      <c r="G16" s="3" t="s">
        <v>269</v>
      </c>
    </row>
    <row r="17" customFormat="false" ht="31.5" hidden="false" customHeight="true" outlineLevel="0" collapsed="false">
      <c r="A17" s="28" t="s">
        <v>733</v>
      </c>
      <c r="B17" s="3" t="s">
        <v>734</v>
      </c>
      <c r="C17" s="29" t="s">
        <v>735</v>
      </c>
      <c r="D17" s="3" t="s">
        <v>189</v>
      </c>
      <c r="E17" s="3" t="s">
        <v>719</v>
      </c>
      <c r="F17" s="3" t="s">
        <v>736</v>
      </c>
      <c r="G17" s="3" t="s">
        <v>737</v>
      </c>
    </row>
    <row r="18" customFormat="false" ht="31.5" hidden="false" customHeight="true" outlineLevel="0" collapsed="false">
      <c r="A18" s="28" t="s">
        <v>738</v>
      </c>
      <c r="B18" s="3" t="s">
        <v>739</v>
      </c>
      <c r="C18" s="29" t="s">
        <v>740</v>
      </c>
      <c r="D18" s="3" t="s">
        <v>741</v>
      </c>
      <c r="E18" s="3" t="s">
        <v>331</v>
      </c>
      <c r="F18" s="3" t="s">
        <v>742</v>
      </c>
      <c r="G18" s="3" t="s">
        <v>743</v>
      </c>
    </row>
    <row r="19" customFormat="false" ht="31.5" hidden="false" customHeight="true" outlineLevel="0" collapsed="false">
      <c r="A19" s="28" t="s">
        <v>744</v>
      </c>
      <c r="B19" s="3" t="s">
        <v>362</v>
      </c>
      <c r="C19" s="29" t="s">
        <v>745</v>
      </c>
      <c r="D19" s="3" t="s">
        <v>746</v>
      </c>
      <c r="E19" s="3" t="s">
        <v>364</v>
      </c>
      <c r="F19" s="3" t="s">
        <v>194</v>
      </c>
      <c r="G19" s="3" t="s">
        <v>747</v>
      </c>
    </row>
    <row r="20" customFormat="false" ht="31.5" hidden="false" customHeight="true" outlineLevel="0" collapsed="false">
      <c r="A20" s="28" t="s">
        <v>748</v>
      </c>
      <c r="B20" s="3" t="s">
        <v>749</v>
      </c>
      <c r="C20" s="29" t="s">
        <v>750</v>
      </c>
      <c r="D20" s="3" t="s">
        <v>751</v>
      </c>
      <c r="E20" s="3" t="s">
        <v>752</v>
      </c>
      <c r="F20" s="3" t="s">
        <v>194</v>
      </c>
      <c r="G20" s="3" t="s">
        <v>753</v>
      </c>
    </row>
    <row r="21" customFormat="false" ht="31.5" hidden="false" customHeight="true" outlineLevel="0" collapsed="false">
      <c r="A21" s="28" t="s">
        <v>373</v>
      </c>
      <c r="B21" s="3" t="s">
        <v>754</v>
      </c>
      <c r="C21" s="29" t="s">
        <v>755</v>
      </c>
      <c r="D21" s="3" t="s">
        <v>756</v>
      </c>
      <c r="E21" s="3" t="s">
        <v>378</v>
      </c>
      <c r="F21" s="3" t="s">
        <v>194</v>
      </c>
      <c r="G21" s="3" t="s">
        <v>757</v>
      </c>
    </row>
    <row r="22" customFormat="false" ht="31.5" hidden="false" customHeight="true" outlineLevel="0" collapsed="false">
      <c r="A22" s="28" t="s">
        <v>758</v>
      </c>
      <c r="B22" s="3" t="s">
        <v>759</v>
      </c>
      <c r="C22" s="29" t="s">
        <v>760</v>
      </c>
      <c r="D22" s="3" t="s">
        <v>761</v>
      </c>
      <c r="E22" s="3" t="s">
        <v>752</v>
      </c>
      <c r="F22" s="3" t="s">
        <v>194</v>
      </c>
      <c r="G22" s="3" t="s">
        <v>762</v>
      </c>
    </row>
    <row r="23" customFormat="false" ht="31.5" hidden="false" customHeight="true" outlineLevel="0" collapsed="false">
      <c r="A23" s="28" t="s">
        <v>763</v>
      </c>
      <c r="B23" s="3" t="s">
        <v>764</v>
      </c>
      <c r="C23" s="29" t="s">
        <v>765</v>
      </c>
      <c r="D23" s="3" t="s">
        <v>766</v>
      </c>
      <c r="E23" s="3" t="s">
        <v>767</v>
      </c>
      <c r="F23" s="3" t="s">
        <v>194</v>
      </c>
      <c r="G23" s="3" t="s">
        <v>768</v>
      </c>
    </row>
    <row r="24" customFormat="false" ht="31.5" hidden="false" customHeight="true" outlineLevel="0" collapsed="false">
      <c r="A24" s="28" t="s">
        <v>769</v>
      </c>
      <c r="B24" s="3" t="s">
        <v>770</v>
      </c>
      <c r="C24" s="29" t="s">
        <v>771</v>
      </c>
      <c r="D24" s="3" t="s">
        <v>772</v>
      </c>
      <c r="E24" s="3" t="s">
        <v>767</v>
      </c>
      <c r="F24" s="3" t="s">
        <v>194</v>
      </c>
      <c r="G24" s="3" t="s">
        <v>773</v>
      </c>
    </row>
    <row r="25" customFormat="false" ht="31.5" hidden="false" customHeight="true" outlineLevel="0" collapsed="false">
      <c r="A25" s="28" t="s">
        <v>774</v>
      </c>
      <c r="B25" s="3" t="s">
        <v>770</v>
      </c>
      <c r="C25" s="29" t="s">
        <v>775</v>
      </c>
      <c r="D25" s="3" t="s">
        <v>776</v>
      </c>
      <c r="E25" s="3" t="s">
        <v>767</v>
      </c>
      <c r="F25" s="3" t="s">
        <v>194</v>
      </c>
      <c r="G25" s="3" t="s">
        <v>777</v>
      </c>
    </row>
    <row r="26" customFormat="false" ht="31.5" hidden="false" customHeight="true" outlineLevel="0" collapsed="false">
      <c r="A26" s="28" t="s">
        <v>778</v>
      </c>
      <c r="B26" s="3" t="s">
        <v>779</v>
      </c>
      <c r="C26" s="29" t="s">
        <v>780</v>
      </c>
      <c r="D26" s="3" t="s">
        <v>781</v>
      </c>
      <c r="E26" s="3" t="s">
        <v>767</v>
      </c>
      <c r="F26" s="3" t="s">
        <v>194</v>
      </c>
      <c r="G26" s="3" t="s">
        <v>782</v>
      </c>
    </row>
    <row r="28" customFormat="false" ht="16.15" hidden="false" customHeight="false" outlineLevel="0" collapsed="false">
      <c r="A28" s="4" t="s">
        <v>783</v>
      </c>
      <c r="B28" s="4"/>
      <c r="C28" s="4"/>
      <c r="D28" s="4"/>
      <c r="E28" s="4"/>
      <c r="F28" s="4"/>
      <c r="G28" s="4"/>
      <c r="H28" s="4"/>
    </row>
    <row r="29" customFormat="false" ht="30" hidden="false" customHeight="true" outlineLevel="0" collapsed="false">
      <c r="A29" s="1" t="s">
        <v>784</v>
      </c>
      <c r="B29" s="1" t="s">
        <v>607</v>
      </c>
      <c r="C29" s="1" t="s">
        <v>609</v>
      </c>
      <c r="D29" s="1" t="s">
        <v>785</v>
      </c>
      <c r="E29" s="1" t="s">
        <v>98</v>
      </c>
      <c r="F29" s="1" t="s">
        <v>786</v>
      </c>
      <c r="G29" s="1" t="s">
        <v>100</v>
      </c>
      <c r="H29" s="1"/>
    </row>
    <row r="30" customFormat="false" ht="24" hidden="false" customHeight="true" outlineLevel="0" collapsed="false">
      <c r="A30" s="3" t="s">
        <v>787</v>
      </c>
      <c r="B30" s="30" t="n">
        <v>0.0375</v>
      </c>
      <c r="C30" s="9" t="n">
        <v>300</v>
      </c>
      <c r="D30" s="10" t="n">
        <f aca="false">B30*C30</f>
        <v>11.25</v>
      </c>
      <c r="E30" s="10" t="n">
        <f aca="false">D30/20</f>
        <v>0.5625</v>
      </c>
      <c r="F30" s="10" t="n">
        <f aca="false">D30/20*0.5</f>
        <v>0.28125</v>
      </c>
      <c r="G30" s="3" t="s">
        <v>788</v>
      </c>
      <c r="H30" s="8"/>
    </row>
    <row r="31" customFormat="false" ht="24" hidden="false" customHeight="true" outlineLevel="0" collapsed="false">
      <c r="A31" s="3" t="s">
        <v>789</v>
      </c>
      <c r="B31" s="30" t="n">
        <v>0.0975</v>
      </c>
      <c r="C31" s="9" t="n">
        <v>31</v>
      </c>
      <c r="D31" s="10" t="n">
        <f aca="false">B31*C31</f>
        <v>3.0225</v>
      </c>
      <c r="E31" s="10" t="n">
        <f aca="false">D31/20</f>
        <v>0.151125</v>
      </c>
      <c r="F31" s="10" t="n">
        <f aca="false">D31/20*0.5</f>
        <v>0.0755625</v>
      </c>
      <c r="G31" s="3" t="s">
        <v>790</v>
      </c>
      <c r="H31" s="8"/>
    </row>
    <row r="32" customFormat="false" ht="24" hidden="false" customHeight="true" outlineLevel="0" collapsed="false">
      <c r="A32" s="3" t="s">
        <v>791</v>
      </c>
      <c r="B32" s="30" t="n">
        <v>0.00225</v>
      </c>
      <c r="C32" s="9" t="n">
        <v>800</v>
      </c>
      <c r="D32" s="10" t="n">
        <f aca="false">B32*C32</f>
        <v>1.8</v>
      </c>
      <c r="E32" s="10" t="n">
        <f aca="false">D32/20</f>
        <v>0.09</v>
      </c>
      <c r="F32" s="10" t="n">
        <f aca="false">D32/20*0.5</f>
        <v>0.045</v>
      </c>
      <c r="G32" s="3" t="s">
        <v>792</v>
      </c>
      <c r="H32" s="8"/>
    </row>
    <row r="33" customFormat="false" ht="24" hidden="false" customHeight="true" outlineLevel="0" collapsed="false">
      <c r="A33" s="3" t="s">
        <v>793</v>
      </c>
      <c r="B33" s="30" t="n">
        <v>0.003</v>
      </c>
      <c r="C33" s="9" t="n">
        <v>115</v>
      </c>
      <c r="D33" s="10" t="n">
        <f aca="false">B33*C33</f>
        <v>0.345</v>
      </c>
      <c r="E33" s="10" t="n">
        <f aca="false">D33/20</f>
        <v>0.01725</v>
      </c>
      <c r="F33" s="10" t="n">
        <f aca="false">D33/20*0.5</f>
        <v>0.008625</v>
      </c>
      <c r="G33" s="3" t="s">
        <v>794</v>
      </c>
      <c r="H33" s="8"/>
    </row>
    <row r="34" customFormat="false" ht="24" hidden="false" customHeight="true" outlineLevel="0" collapsed="false">
      <c r="A34" s="3" t="s">
        <v>795</v>
      </c>
      <c r="B34" s="30" t="n">
        <v>3</v>
      </c>
      <c r="C34" s="9" t="n">
        <v>0.15</v>
      </c>
      <c r="D34" s="10" t="n">
        <f aca="false">B34*C34</f>
        <v>0.45</v>
      </c>
      <c r="E34" s="10" t="n">
        <f aca="false">D34/20</f>
        <v>0.0225</v>
      </c>
      <c r="F34" s="10" t="n">
        <f aca="false">D34/20*0.5</f>
        <v>0.01125</v>
      </c>
      <c r="G34" s="3" t="s">
        <v>796</v>
      </c>
      <c r="H34" s="8"/>
    </row>
    <row r="35" customFormat="false" ht="24" hidden="false" customHeight="true" outlineLevel="0" collapsed="false">
      <c r="A35" s="3" t="s">
        <v>797</v>
      </c>
      <c r="B35" s="30" t="n">
        <v>17</v>
      </c>
      <c r="C35" s="9" t="n">
        <v>0.15</v>
      </c>
      <c r="D35" s="10" t="n">
        <f aca="false">B35*C35</f>
        <v>2.55</v>
      </c>
      <c r="E35" s="10" t="n">
        <f aca="false">D35/20</f>
        <v>0.1275</v>
      </c>
      <c r="F35" s="10" t="n">
        <f aca="false">D35/20*0.5</f>
        <v>0.06375</v>
      </c>
      <c r="G35" s="3" t="s">
        <v>798</v>
      </c>
      <c r="H35" s="8"/>
    </row>
    <row r="36" customFormat="false" ht="24" hidden="false" customHeight="true" outlineLevel="0" collapsed="false">
      <c r="A36" s="3" t="s">
        <v>616</v>
      </c>
      <c r="B36" s="30" t="n">
        <v>1.3</v>
      </c>
      <c r="C36" s="9" t="n">
        <v>31</v>
      </c>
      <c r="D36" s="10" t="n">
        <f aca="false">B36*C36</f>
        <v>40.3</v>
      </c>
      <c r="E36" s="10" t="n">
        <f aca="false">D36/20</f>
        <v>2.015</v>
      </c>
      <c r="F36" s="10" t="n">
        <f aca="false">D36/20*0.5</f>
        <v>1.0075</v>
      </c>
      <c r="G36" s="3" t="s">
        <v>799</v>
      </c>
      <c r="H36" s="8"/>
    </row>
    <row r="37" customFormat="false" ht="24" hidden="false" customHeight="true" outlineLevel="0" collapsed="false">
      <c r="A37" s="3" t="s">
        <v>621</v>
      </c>
      <c r="B37" s="30" t="n">
        <v>0.015</v>
      </c>
      <c r="C37" s="9" t="n">
        <v>115</v>
      </c>
      <c r="D37" s="10" t="n">
        <f aca="false">B37*C37</f>
        <v>1.725</v>
      </c>
      <c r="E37" s="10" t="n">
        <f aca="false">D37/20</f>
        <v>0.08625</v>
      </c>
      <c r="F37" s="10" t="n">
        <f aca="false">D37/20*0.5</f>
        <v>0.043125</v>
      </c>
      <c r="G37" s="3" t="s">
        <v>800</v>
      </c>
      <c r="H37" s="8"/>
    </row>
    <row r="38" customFormat="false" ht="24" hidden="false" customHeight="true" outlineLevel="0" collapsed="false">
      <c r="A38" s="3" t="s">
        <v>161</v>
      </c>
      <c r="B38" s="30" t="n">
        <v>0.0064</v>
      </c>
      <c r="C38" s="9" t="n">
        <v>1090</v>
      </c>
      <c r="D38" s="10" t="n">
        <f aca="false">B38*C38</f>
        <v>6.976</v>
      </c>
      <c r="E38" s="10" t="n">
        <f aca="false">D38/20</f>
        <v>0.3488</v>
      </c>
      <c r="F38" s="10" t="n">
        <f aca="false">D38/20*0.5</f>
        <v>0.1744</v>
      </c>
      <c r="G38" s="3" t="s">
        <v>801</v>
      </c>
      <c r="H38" s="8"/>
    </row>
    <row r="39" customFormat="false" ht="24" hidden="false" customHeight="true" outlineLevel="0" collapsed="false">
      <c r="A39" s="3" t="s">
        <v>43</v>
      </c>
      <c r="B39" s="30" t="n">
        <v>0.08</v>
      </c>
      <c r="C39" s="9" t="n">
        <v>900</v>
      </c>
      <c r="D39" s="10" t="n">
        <f aca="false">B39*C39</f>
        <v>72</v>
      </c>
      <c r="E39" s="10" t="n">
        <f aca="false">D39/20</f>
        <v>3.6</v>
      </c>
      <c r="F39" s="10" t="n">
        <f aca="false">D39/20*0.5</f>
        <v>1.8</v>
      </c>
      <c r="G39" s="3" t="s">
        <v>802</v>
      </c>
      <c r="H39" s="8"/>
    </row>
    <row r="40" customFormat="false" ht="24" hidden="false" customHeight="true" outlineLevel="0" collapsed="false">
      <c r="A40" s="3" t="s">
        <v>803</v>
      </c>
      <c r="B40" s="30" t="n">
        <v>0.0016</v>
      </c>
      <c r="C40" s="9" t="n">
        <v>2000</v>
      </c>
      <c r="D40" s="10" t="n">
        <f aca="false">B40*C40</f>
        <v>3.2</v>
      </c>
      <c r="E40" s="10" t="n">
        <f aca="false">D40/20</f>
        <v>0.16</v>
      </c>
      <c r="F40" s="10" t="n">
        <f aca="false">D40/20*0.5</f>
        <v>0.08</v>
      </c>
      <c r="G40" s="3" t="s">
        <v>640</v>
      </c>
      <c r="H40" s="8"/>
    </row>
    <row r="41" customFormat="false" ht="24" hidden="false" customHeight="true" outlineLevel="0" collapsed="false">
      <c r="A41" s="3" t="s">
        <v>804</v>
      </c>
      <c r="B41" s="30" t="n">
        <v>0.0004</v>
      </c>
      <c r="C41" s="9" t="n">
        <v>1200</v>
      </c>
      <c r="D41" s="10" t="n">
        <f aca="false">B41*C41</f>
        <v>0.48</v>
      </c>
      <c r="E41" s="10" t="n">
        <f aca="false">D41/20</f>
        <v>0.024</v>
      </c>
      <c r="F41" s="10" t="n">
        <f aca="false">D41/20*0.5</f>
        <v>0.012</v>
      </c>
      <c r="G41" s="3" t="s">
        <v>805</v>
      </c>
      <c r="H41" s="8"/>
    </row>
    <row r="42" customFormat="false" ht="24" hidden="false" customHeight="true" outlineLevel="0" collapsed="false">
      <c r="A42" s="3" t="s">
        <v>806</v>
      </c>
      <c r="B42" s="30" t="n">
        <v>0.0004</v>
      </c>
      <c r="C42" s="9" t="n">
        <v>3256</v>
      </c>
      <c r="D42" s="10" t="n">
        <f aca="false">B42*C42</f>
        <v>1.3024</v>
      </c>
      <c r="E42" s="10" t="n">
        <f aca="false">D42/20</f>
        <v>0.06512</v>
      </c>
      <c r="F42" s="10" t="n">
        <f aca="false">D42/20*0.5</f>
        <v>0.03256</v>
      </c>
      <c r="G42" s="3" t="s">
        <v>807</v>
      </c>
      <c r="H42" s="8"/>
    </row>
    <row r="43" customFormat="false" ht="24" hidden="false" customHeight="true" outlineLevel="0" collapsed="false">
      <c r="A43" s="3" t="s">
        <v>644</v>
      </c>
      <c r="B43" s="30" t="n">
        <v>4E-005</v>
      </c>
      <c r="C43" s="9" t="n">
        <v>500</v>
      </c>
      <c r="D43" s="10" t="n">
        <f aca="false">B43*C43</f>
        <v>0.02</v>
      </c>
      <c r="E43" s="10" t="n">
        <f aca="false">D43/20</f>
        <v>0.001</v>
      </c>
      <c r="F43" s="10" t="n">
        <f aca="false">D43/20*0.5</f>
        <v>0.0005</v>
      </c>
      <c r="G43" s="3" t="s">
        <v>808</v>
      </c>
      <c r="H43" s="8"/>
    </row>
    <row r="44" customFormat="false" ht="24" hidden="false" customHeight="true" outlineLevel="0" collapsed="false">
      <c r="A44" s="3" t="s">
        <v>80</v>
      </c>
      <c r="B44" s="30" t="n">
        <v>0.004</v>
      </c>
      <c r="C44" s="9" t="n">
        <v>350</v>
      </c>
      <c r="D44" s="10" t="n">
        <f aca="false">B44*C44</f>
        <v>1.4</v>
      </c>
      <c r="E44" s="10" t="n">
        <f aca="false">D44/20</f>
        <v>0.07</v>
      </c>
      <c r="F44" s="10" t="n">
        <f aca="false">D44/20*0.5</f>
        <v>0.035</v>
      </c>
      <c r="G44" s="3" t="s">
        <v>809</v>
      </c>
      <c r="H44" s="8"/>
    </row>
    <row r="45" customFormat="false" ht="24" hidden="false" customHeight="true" outlineLevel="0" collapsed="false">
      <c r="A45" s="3" t="s">
        <v>77</v>
      </c>
      <c r="B45" s="30" t="n">
        <v>0.003</v>
      </c>
      <c r="C45" s="9" t="n">
        <v>299</v>
      </c>
      <c r="D45" s="10" t="n">
        <f aca="false">B45*C45</f>
        <v>0.897</v>
      </c>
      <c r="E45" s="10" t="n">
        <f aca="false">D45/20</f>
        <v>0.04485</v>
      </c>
      <c r="F45" s="10" t="n">
        <f aca="false">D45/20*0.5</f>
        <v>0.022425</v>
      </c>
      <c r="G45" s="3" t="s">
        <v>810</v>
      </c>
      <c r="H45" s="8"/>
    </row>
    <row r="46" customFormat="false" ht="15" hidden="false" customHeight="false" outlineLevel="0" collapsed="false">
      <c r="A46" s="11" t="s">
        <v>811</v>
      </c>
      <c r="B46" s="12"/>
      <c r="C46" s="12"/>
      <c r="D46" s="13" t="n">
        <f aca="false">SUM(D30:D45)</f>
        <v>147.7179</v>
      </c>
      <c r="E46" s="13" t="n">
        <f aca="false">D46/20</f>
        <v>7.385895</v>
      </c>
      <c r="F46" s="13" t="n">
        <f aca="false">D46/20*0.5</f>
        <v>3.6929475</v>
      </c>
      <c r="G46" s="12"/>
      <c r="H46" s="12"/>
    </row>
    <row r="47" customFormat="false" ht="24" hidden="false" customHeight="true" outlineLevel="0" collapsed="false">
      <c r="A47" s="3" t="s">
        <v>812</v>
      </c>
      <c r="B47" s="8" t="n">
        <v>40</v>
      </c>
      <c r="C47" s="9" t="n">
        <v>4.68</v>
      </c>
      <c r="D47" s="10" t="n">
        <f aca="false">B47*C47</f>
        <v>187.2</v>
      </c>
      <c r="E47" s="10" t="n">
        <f aca="false">D47/20</f>
        <v>9.36</v>
      </c>
      <c r="F47" s="10" t="n">
        <f aca="false">D47/20*0.5</f>
        <v>4.68</v>
      </c>
      <c r="G47" s="3" t="s">
        <v>813</v>
      </c>
      <c r="H47" s="8"/>
    </row>
    <row r="48" customFormat="false" ht="24" hidden="false" customHeight="true" outlineLevel="0" collapsed="false">
      <c r="A48" s="3" t="s">
        <v>814</v>
      </c>
      <c r="B48" s="8" t="n">
        <v>40</v>
      </c>
      <c r="C48" s="9" t="n">
        <v>0.6</v>
      </c>
      <c r="D48" s="10" t="n">
        <f aca="false">B48*C48</f>
        <v>24</v>
      </c>
      <c r="E48" s="10" t="n">
        <f aca="false">D48/20</f>
        <v>1.2</v>
      </c>
      <c r="F48" s="10" t="n">
        <f aca="false">D48/20*0.5</f>
        <v>0.6</v>
      </c>
      <c r="G48" s="3" t="s">
        <v>815</v>
      </c>
      <c r="H48" s="8"/>
    </row>
    <row r="49" customFormat="false" ht="24" hidden="false" customHeight="true" outlineLevel="0" collapsed="false">
      <c r="A49" s="3" t="s">
        <v>554</v>
      </c>
      <c r="B49" s="8" t="n">
        <v>40</v>
      </c>
      <c r="C49" s="9" t="n">
        <v>0.17</v>
      </c>
      <c r="D49" s="10" t="n">
        <f aca="false">B49*C49</f>
        <v>6.8</v>
      </c>
      <c r="E49" s="10" t="n">
        <f aca="false">D49/20</f>
        <v>0.34</v>
      </c>
      <c r="F49" s="10" t="n">
        <f aca="false">D49/20*0.5</f>
        <v>0.17</v>
      </c>
      <c r="G49" s="3" t="s">
        <v>816</v>
      </c>
      <c r="H49" s="8"/>
    </row>
    <row r="50" customFormat="false" ht="24" hidden="false" customHeight="true" outlineLevel="0" collapsed="false">
      <c r="A50" s="3" t="s">
        <v>758</v>
      </c>
      <c r="B50" s="8" t="n">
        <v>4</v>
      </c>
      <c r="C50" s="9" t="n">
        <v>12.78</v>
      </c>
      <c r="D50" s="10" t="n">
        <f aca="false">B50*C50</f>
        <v>51.12</v>
      </c>
      <c r="E50" s="10" t="n">
        <f aca="false">D50/20</f>
        <v>2.556</v>
      </c>
      <c r="F50" s="10" t="n">
        <f aca="false">D50/20*0.5</f>
        <v>1.278</v>
      </c>
      <c r="G50" s="3" t="s">
        <v>817</v>
      </c>
      <c r="H50" s="8"/>
    </row>
    <row r="51" customFormat="false" ht="24" hidden="false" customHeight="true" outlineLevel="0" collapsed="false">
      <c r="A51" s="3" t="s">
        <v>818</v>
      </c>
      <c r="B51" s="8" t="n">
        <v>0.1</v>
      </c>
      <c r="C51" s="9" t="n">
        <v>34</v>
      </c>
      <c r="D51" s="10" t="n">
        <f aca="false">B51*C51</f>
        <v>3.4</v>
      </c>
      <c r="E51" s="10" t="n">
        <f aca="false">D51/20</f>
        <v>0.17</v>
      </c>
      <c r="F51" s="10" t="n">
        <f aca="false">D51/20*0.5</f>
        <v>0.085</v>
      </c>
      <c r="G51" s="3" t="s">
        <v>819</v>
      </c>
      <c r="H51" s="8"/>
    </row>
    <row r="52" customFormat="false" ht="15" hidden="false" customHeight="false" outlineLevel="0" collapsed="false">
      <c r="A52" s="11" t="s">
        <v>820</v>
      </c>
      <c r="B52" s="12"/>
      <c r="C52" s="12"/>
      <c r="D52" s="13" t="n">
        <f aca="false">SUM(D47:D51)</f>
        <v>272.52</v>
      </c>
      <c r="E52" s="13" t="n">
        <f aca="false">D52/20</f>
        <v>13.626</v>
      </c>
      <c r="F52" s="13" t="n">
        <f aca="false">D52/20*0.5</f>
        <v>6.813</v>
      </c>
      <c r="G52" s="12"/>
      <c r="H52" s="12"/>
    </row>
    <row r="53" customFormat="false" ht="15" hidden="false" customHeight="false" outlineLevel="0" collapsed="false">
      <c r="A53" s="31" t="s">
        <v>821</v>
      </c>
      <c r="B53" s="12"/>
      <c r="C53" s="12"/>
      <c r="D53" s="32" t="n">
        <f aca="false">D46+D52</f>
        <v>420.2379</v>
      </c>
      <c r="E53" s="32" t="n">
        <f aca="false">D53/20</f>
        <v>21.011895</v>
      </c>
      <c r="F53" s="32" t="n">
        <f aca="false">D53/20*0.5</f>
        <v>10.5059475</v>
      </c>
      <c r="G53" s="12"/>
      <c r="H53" s="12"/>
    </row>
    <row r="55" customFormat="false" ht="24.05" hidden="false" customHeight="true" outlineLevel="0" collapsed="false">
      <c r="A55" s="5" t="s">
        <v>822</v>
      </c>
      <c r="B55" s="5"/>
      <c r="C55" s="5"/>
      <c r="D55" s="5"/>
      <c r="E55" s="5"/>
      <c r="F55" s="5"/>
    </row>
    <row r="57" customFormat="false" ht="16.15" hidden="false" customHeight="false" outlineLevel="0" collapsed="false">
      <c r="A57" s="4" t="s">
        <v>823</v>
      </c>
      <c r="B57" s="4"/>
      <c r="C57" s="4"/>
      <c r="D57" s="4"/>
      <c r="E57" s="4"/>
      <c r="F57" s="4"/>
      <c r="G57" s="4"/>
      <c r="H57" s="4"/>
    </row>
    <row r="58" customFormat="false" ht="30" hidden="false" customHeight="true" outlineLevel="0" collapsed="false">
      <c r="A58" s="1" t="s">
        <v>134</v>
      </c>
      <c r="B58" s="1" t="s">
        <v>824</v>
      </c>
      <c r="C58" s="1" t="s">
        <v>825</v>
      </c>
      <c r="D58" s="1" t="s">
        <v>100</v>
      </c>
      <c r="E58" s="1"/>
      <c r="F58" s="1"/>
      <c r="G58" s="1"/>
      <c r="H58" s="1"/>
    </row>
    <row r="59" customFormat="false" ht="25.5" hidden="false" customHeight="true" outlineLevel="0" collapsed="false">
      <c r="A59" s="3" t="s">
        <v>664</v>
      </c>
      <c r="B59" s="20" t="n">
        <v>195</v>
      </c>
      <c r="C59" s="20" t="n">
        <v>1090</v>
      </c>
      <c r="D59" s="3" t="s">
        <v>826</v>
      </c>
      <c r="E59" s="8"/>
      <c r="F59" s="8"/>
      <c r="G59" s="8"/>
      <c r="H59" s="8"/>
    </row>
    <row r="60" customFormat="false" ht="25.5" hidden="false" customHeight="true" outlineLevel="0" collapsed="false">
      <c r="A60" s="3" t="s">
        <v>43</v>
      </c>
      <c r="B60" s="20" t="n">
        <v>395</v>
      </c>
      <c r="C60" s="20" t="n">
        <v>395</v>
      </c>
      <c r="D60" s="3" t="s">
        <v>827</v>
      </c>
      <c r="E60" s="8"/>
      <c r="F60" s="8"/>
      <c r="G60" s="8"/>
      <c r="H60" s="8"/>
    </row>
    <row r="61" customFormat="false" ht="25.5" hidden="false" customHeight="true" outlineLevel="0" collapsed="false">
      <c r="A61" s="3" t="s">
        <v>828</v>
      </c>
      <c r="B61" s="20" t="n">
        <v>40</v>
      </c>
      <c r="C61" s="20" t="n">
        <v>2000</v>
      </c>
      <c r="D61" s="3" t="s">
        <v>829</v>
      </c>
      <c r="E61" s="8"/>
      <c r="F61" s="8"/>
      <c r="G61" s="8"/>
      <c r="H61" s="8"/>
    </row>
    <row r="62" customFormat="false" ht="25.5" hidden="false" customHeight="true" outlineLevel="0" collapsed="false">
      <c r="A62" s="3" t="s">
        <v>830</v>
      </c>
      <c r="B62" s="20" t="n">
        <v>40</v>
      </c>
      <c r="C62" s="20" t="n">
        <v>1200</v>
      </c>
      <c r="D62" s="3" t="s">
        <v>831</v>
      </c>
      <c r="E62" s="8"/>
      <c r="F62" s="8"/>
      <c r="G62" s="8"/>
      <c r="H62" s="8"/>
    </row>
    <row r="63" customFormat="false" ht="25.5" hidden="false" customHeight="true" outlineLevel="0" collapsed="false">
      <c r="A63" s="3" t="s">
        <v>832</v>
      </c>
      <c r="B63" s="20" t="n">
        <v>30</v>
      </c>
      <c r="C63" s="20" t="n">
        <v>3256</v>
      </c>
      <c r="D63" s="3" t="s">
        <v>833</v>
      </c>
      <c r="E63" s="8"/>
      <c r="F63" s="8"/>
      <c r="G63" s="8"/>
      <c r="H63" s="8"/>
    </row>
    <row r="64" customFormat="false" ht="25.5" hidden="false" customHeight="true" outlineLevel="0" collapsed="false">
      <c r="A64" s="3" t="s">
        <v>834</v>
      </c>
      <c r="B64" s="20" t="n">
        <v>60</v>
      </c>
      <c r="C64" s="20" t="n">
        <v>500</v>
      </c>
      <c r="D64" s="3" t="s">
        <v>835</v>
      </c>
      <c r="E64" s="8"/>
      <c r="F64" s="8"/>
      <c r="G64" s="8"/>
      <c r="H64" s="8"/>
    </row>
    <row r="65" customFormat="false" ht="25.5" hidden="false" customHeight="true" outlineLevel="0" collapsed="false">
      <c r="A65" s="3" t="s">
        <v>836</v>
      </c>
      <c r="B65" s="20" t="n">
        <v>0</v>
      </c>
      <c r="C65" s="20" t="n">
        <v>411</v>
      </c>
      <c r="D65" s="3" t="s">
        <v>837</v>
      </c>
      <c r="E65" s="8"/>
      <c r="F65" s="8"/>
      <c r="G65" s="8"/>
      <c r="H65" s="8"/>
    </row>
    <row r="66" customFormat="false" ht="25.5" hidden="false" customHeight="true" outlineLevel="0" collapsed="false">
      <c r="A66" s="3" t="s">
        <v>621</v>
      </c>
      <c r="B66" s="20" t="n">
        <v>30</v>
      </c>
      <c r="C66" s="20" t="n">
        <v>215</v>
      </c>
      <c r="D66" s="3" t="s">
        <v>838</v>
      </c>
      <c r="E66" s="8"/>
      <c r="F66" s="8"/>
      <c r="G66" s="8"/>
      <c r="H66" s="8"/>
    </row>
    <row r="67" customFormat="false" ht="25.5" hidden="false" customHeight="true" outlineLevel="0" collapsed="false">
      <c r="A67" s="3" t="s">
        <v>839</v>
      </c>
      <c r="B67" s="20" t="n">
        <v>80</v>
      </c>
      <c r="C67" s="20" t="n">
        <v>150</v>
      </c>
      <c r="D67" s="3" t="s">
        <v>840</v>
      </c>
      <c r="E67" s="8"/>
      <c r="F67" s="8"/>
      <c r="G67" s="8"/>
      <c r="H67" s="8"/>
    </row>
    <row r="68" customFormat="false" ht="25.5" hidden="false" customHeight="true" outlineLevel="0" collapsed="false">
      <c r="A68" s="3" t="s">
        <v>841</v>
      </c>
      <c r="B68" s="20" t="n">
        <v>105</v>
      </c>
      <c r="C68" s="20" t="n">
        <v>140</v>
      </c>
      <c r="D68" s="3" t="s">
        <v>842</v>
      </c>
      <c r="E68" s="8"/>
      <c r="F68" s="8"/>
      <c r="G68" s="8"/>
      <c r="H68" s="8"/>
    </row>
    <row r="69" customFormat="false" ht="25.5" hidden="false" customHeight="true" outlineLevel="0" collapsed="false">
      <c r="A69" s="3" t="s">
        <v>843</v>
      </c>
      <c r="B69" s="20" t="n">
        <v>0</v>
      </c>
      <c r="C69" s="20" t="n">
        <v>410</v>
      </c>
      <c r="D69" s="3" t="s">
        <v>844</v>
      </c>
      <c r="E69" s="8"/>
      <c r="F69" s="8"/>
      <c r="G69" s="8"/>
      <c r="H69" s="8"/>
    </row>
    <row r="70" customFormat="false" ht="25.5" hidden="false" customHeight="true" outlineLevel="0" collapsed="false">
      <c r="A70" s="3" t="s">
        <v>845</v>
      </c>
      <c r="B70" s="20" t="n">
        <v>250</v>
      </c>
      <c r="C70" s="20" t="n">
        <v>250</v>
      </c>
      <c r="D70" s="3" t="s">
        <v>846</v>
      </c>
      <c r="E70" s="8"/>
      <c r="F70" s="8"/>
      <c r="G70" s="8"/>
      <c r="H70" s="8"/>
    </row>
    <row r="71" customFormat="false" ht="25.5" hidden="false" customHeight="true" outlineLevel="0" collapsed="false">
      <c r="A71" s="3" t="s">
        <v>847</v>
      </c>
      <c r="B71" s="20" t="n">
        <v>350</v>
      </c>
      <c r="C71" s="20" t="n">
        <v>350</v>
      </c>
      <c r="D71" s="3" t="s">
        <v>848</v>
      </c>
      <c r="E71" s="8"/>
      <c r="F71" s="8"/>
      <c r="G71" s="8"/>
      <c r="H71" s="8"/>
    </row>
    <row r="72" customFormat="false" ht="25.5" hidden="false" customHeight="true" outlineLevel="0" collapsed="false">
      <c r="A72" s="3" t="s">
        <v>849</v>
      </c>
      <c r="B72" s="20" t="n">
        <v>150</v>
      </c>
      <c r="C72" s="20" t="n">
        <v>150</v>
      </c>
      <c r="D72" s="3" t="s">
        <v>850</v>
      </c>
      <c r="E72" s="8"/>
      <c r="F72" s="8"/>
      <c r="G72" s="8"/>
      <c r="H72" s="8"/>
    </row>
    <row r="73" customFormat="false" ht="25.5" hidden="false" customHeight="true" outlineLevel="0" collapsed="false">
      <c r="A73" s="3" t="s">
        <v>851</v>
      </c>
      <c r="B73" s="20" t="n">
        <v>50</v>
      </c>
      <c r="C73" s="20" t="n">
        <v>0</v>
      </c>
      <c r="D73" s="3" t="s">
        <v>852</v>
      </c>
      <c r="E73" s="8"/>
      <c r="F73" s="8"/>
      <c r="G73" s="8"/>
      <c r="H73" s="8"/>
    </row>
    <row r="74" customFormat="false" ht="25.5" hidden="false" customHeight="true" outlineLevel="0" collapsed="false">
      <c r="A74" s="3" t="s">
        <v>769</v>
      </c>
      <c r="B74" s="20" t="n">
        <v>0</v>
      </c>
      <c r="C74" s="20" t="n">
        <v>700</v>
      </c>
      <c r="D74" s="3" t="s">
        <v>853</v>
      </c>
      <c r="E74" s="8"/>
      <c r="F74" s="8"/>
      <c r="G74" s="8"/>
      <c r="H74" s="8"/>
    </row>
    <row r="75" customFormat="false" ht="25.5" hidden="false" customHeight="true" outlineLevel="0" collapsed="false">
      <c r="A75" s="3" t="s">
        <v>854</v>
      </c>
      <c r="B75" s="20" t="n">
        <v>0</v>
      </c>
      <c r="C75" s="20" t="n">
        <v>500</v>
      </c>
      <c r="D75" s="3" t="s">
        <v>855</v>
      </c>
      <c r="E75" s="8"/>
      <c r="F75" s="8"/>
      <c r="G75" s="8"/>
      <c r="H75" s="8"/>
    </row>
    <row r="76" customFormat="false" ht="15" hidden="false" customHeight="false" outlineLevel="0" collapsed="false">
      <c r="A76" s="11" t="s">
        <v>856</v>
      </c>
      <c r="B76" s="33" t="n">
        <f aca="false">SUM(B59:B75)</f>
        <v>1775</v>
      </c>
      <c r="C76" s="33" t="n">
        <f aca="false">SUM(C59:C75)</f>
        <v>11717</v>
      </c>
      <c r="D76" s="12"/>
      <c r="E76" s="12"/>
      <c r="F76" s="12"/>
      <c r="G76" s="12"/>
      <c r="H76" s="12"/>
    </row>
    <row r="78" customFormat="false" ht="24.05" hidden="false" customHeight="true" outlineLevel="0" collapsed="false">
      <c r="A78" s="5" t="s">
        <v>857</v>
      </c>
      <c r="B78" s="5"/>
      <c r="C78" s="5"/>
      <c r="D78" s="5"/>
      <c r="E78" s="5"/>
      <c r="F78" s="5"/>
    </row>
    <row r="79" customFormat="false" ht="24.05" hidden="false" customHeight="true" outlineLevel="0" collapsed="false">
      <c r="A79" s="5" t="s">
        <v>858</v>
      </c>
      <c r="B79" s="5"/>
      <c r="C79" s="5"/>
      <c r="D79" s="5"/>
      <c r="E79" s="5"/>
      <c r="F79" s="5"/>
    </row>
  </sheetData>
  <mergeCells count="8">
    <mergeCell ref="A1:H1"/>
    <mergeCell ref="A2:F2"/>
    <mergeCell ref="A4:H4"/>
    <mergeCell ref="A28:H28"/>
    <mergeCell ref="A55:F55"/>
    <mergeCell ref="A57:H57"/>
    <mergeCell ref="A78:F78"/>
    <mergeCell ref="A79:F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7" min="5" style="0" width="4"/>
  </cols>
  <sheetData>
    <row r="1" customFormat="false" ht="16.15" hidden="false" customHeight="false" outlineLevel="0" collapsed="false">
      <c r="A1" s="4" t="s">
        <v>859</v>
      </c>
      <c r="B1" s="4"/>
      <c r="C1" s="4"/>
      <c r="D1" s="4"/>
      <c r="E1" s="4"/>
      <c r="F1" s="4"/>
      <c r="G1" s="4"/>
    </row>
    <row r="2" customFormat="false" ht="24.05" hidden="false" customHeight="true" outlineLevel="0" collapsed="false">
      <c r="A2" s="5" t="s">
        <v>860</v>
      </c>
      <c r="B2" s="5"/>
      <c r="C2" s="5"/>
      <c r="D2" s="5"/>
      <c r="E2" s="5"/>
      <c r="F2" s="5"/>
    </row>
    <row r="4" customFormat="false" ht="16.15" hidden="false" customHeight="false" outlineLevel="0" collapsed="false">
      <c r="A4" s="4" t="s">
        <v>861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1" t="s">
        <v>134</v>
      </c>
      <c r="B5" s="1" t="s">
        <v>862</v>
      </c>
      <c r="C5" s="1" t="s">
        <v>863</v>
      </c>
      <c r="D5" s="1" t="s">
        <v>159</v>
      </c>
      <c r="E5" s="1" t="s">
        <v>680</v>
      </c>
      <c r="F5" s="1" t="s">
        <v>33</v>
      </c>
      <c r="G5" s="1"/>
    </row>
    <row r="6" customFormat="false" ht="30" hidden="false" customHeight="true" outlineLevel="0" collapsed="false">
      <c r="A6" s="18" t="s">
        <v>361</v>
      </c>
      <c r="B6" s="34" t="n">
        <v>4.68</v>
      </c>
      <c r="C6" s="34" t="n">
        <v>3.9</v>
      </c>
      <c r="D6" s="3" t="s">
        <v>364</v>
      </c>
      <c r="E6" s="3" t="s">
        <v>745</v>
      </c>
      <c r="F6" s="3" t="s">
        <v>864</v>
      </c>
    </row>
    <row r="7" customFormat="false" ht="30" hidden="false" customHeight="true" outlineLevel="0" collapsed="false">
      <c r="A7" s="18" t="s">
        <v>865</v>
      </c>
      <c r="B7" s="34" t="n">
        <v>16.64</v>
      </c>
      <c r="C7" s="34" t="n">
        <v>12</v>
      </c>
      <c r="D7" s="3" t="s">
        <v>719</v>
      </c>
      <c r="E7" s="3" t="s">
        <v>866</v>
      </c>
      <c r="F7" s="3" t="s">
        <v>867</v>
      </c>
    </row>
    <row r="8" customFormat="false" ht="30" hidden="false" customHeight="true" outlineLevel="0" collapsed="false">
      <c r="A8" s="18" t="s">
        <v>868</v>
      </c>
      <c r="B8" s="34" t="n">
        <v>19.44</v>
      </c>
      <c r="C8" s="34" t="n">
        <v>14</v>
      </c>
      <c r="D8" s="3" t="s">
        <v>385</v>
      </c>
      <c r="E8" s="3" t="s">
        <v>869</v>
      </c>
      <c r="F8" s="3" t="s">
        <v>870</v>
      </c>
    </row>
    <row r="9" customFormat="false" ht="30" hidden="false" customHeight="true" outlineLevel="0" collapsed="false">
      <c r="A9" s="18" t="s">
        <v>871</v>
      </c>
      <c r="B9" s="34" t="n">
        <v>12.25</v>
      </c>
      <c r="C9" s="34" t="n">
        <v>11</v>
      </c>
      <c r="D9" s="3" t="s">
        <v>872</v>
      </c>
      <c r="E9" s="3" t="s">
        <v>873</v>
      </c>
      <c r="F9" s="3" t="s">
        <v>874</v>
      </c>
    </row>
    <row r="10" customFormat="false" ht="30" hidden="false" customHeight="true" outlineLevel="0" collapsed="false">
      <c r="A10" s="18" t="s">
        <v>875</v>
      </c>
      <c r="B10" s="34" t="n">
        <v>11.55</v>
      </c>
      <c r="C10" s="34" t="n">
        <v>10.5</v>
      </c>
      <c r="D10" s="3" t="s">
        <v>876</v>
      </c>
      <c r="E10" s="3" t="s">
        <v>873</v>
      </c>
      <c r="F10" s="3" t="s">
        <v>877</v>
      </c>
    </row>
    <row r="11" customFormat="false" ht="30" hidden="false" customHeight="true" outlineLevel="0" collapsed="false">
      <c r="A11" s="18" t="s">
        <v>878</v>
      </c>
      <c r="B11" s="34" t="n">
        <v>15</v>
      </c>
      <c r="C11" s="34" t="n">
        <v>14</v>
      </c>
      <c r="D11" s="3" t="s">
        <v>879</v>
      </c>
      <c r="E11" s="3" t="s">
        <v>880</v>
      </c>
      <c r="F11" s="3" t="s">
        <v>881</v>
      </c>
    </row>
    <row r="12" customFormat="false" ht="30" hidden="false" customHeight="true" outlineLevel="0" collapsed="false">
      <c r="A12" s="18" t="s">
        <v>882</v>
      </c>
      <c r="B12" s="34" t="n">
        <v>26</v>
      </c>
      <c r="C12" s="34" t="n">
        <v>20</v>
      </c>
      <c r="D12" s="3" t="s">
        <v>883</v>
      </c>
      <c r="E12" s="3" t="s">
        <v>884</v>
      </c>
      <c r="F12" s="3" t="s">
        <v>885</v>
      </c>
    </row>
    <row r="13" customFormat="false" ht="30" hidden="false" customHeight="true" outlineLevel="0" collapsed="false">
      <c r="A13" s="18" t="s">
        <v>886</v>
      </c>
      <c r="B13" s="34" t="n">
        <v>13.7</v>
      </c>
      <c r="C13" s="34" t="n">
        <v>13</v>
      </c>
      <c r="D13" s="3" t="s">
        <v>887</v>
      </c>
      <c r="E13" s="3" t="s">
        <v>888</v>
      </c>
      <c r="F13" s="3" t="s">
        <v>889</v>
      </c>
    </row>
    <row r="14" customFormat="false" ht="30" hidden="false" customHeight="true" outlineLevel="0" collapsed="false">
      <c r="A14" s="18" t="s">
        <v>890</v>
      </c>
      <c r="B14" s="34" t="n">
        <v>0.7</v>
      </c>
      <c r="C14" s="34" t="n">
        <v>0.55</v>
      </c>
      <c r="D14" s="3" t="s">
        <v>891</v>
      </c>
      <c r="E14" s="3" t="s">
        <v>892</v>
      </c>
      <c r="F14" s="3" t="s">
        <v>893</v>
      </c>
    </row>
    <row r="15" customFormat="false" ht="30" hidden="false" customHeight="true" outlineLevel="0" collapsed="false">
      <c r="A15" s="18" t="s">
        <v>894</v>
      </c>
      <c r="B15" s="34" t="n">
        <v>6</v>
      </c>
      <c r="C15" s="34" t="n">
        <v>5</v>
      </c>
      <c r="D15" s="3" t="s">
        <v>719</v>
      </c>
      <c r="E15" s="3" t="s">
        <v>895</v>
      </c>
      <c r="F15" s="3" t="s">
        <v>896</v>
      </c>
    </row>
    <row r="16" customFormat="false" ht="30" hidden="false" customHeight="true" outlineLevel="0" collapsed="false">
      <c r="A16" s="18" t="s">
        <v>897</v>
      </c>
      <c r="B16" s="34" t="n">
        <v>0.17</v>
      </c>
      <c r="C16" s="34" t="n">
        <v>0.12</v>
      </c>
      <c r="D16" s="3" t="s">
        <v>898</v>
      </c>
      <c r="E16" s="3" t="s">
        <v>755</v>
      </c>
      <c r="F16" s="3" t="s">
        <v>899</v>
      </c>
    </row>
    <row r="17" customFormat="false" ht="30" hidden="false" customHeight="true" outlineLevel="0" collapsed="false">
      <c r="A17" s="18" t="s">
        <v>900</v>
      </c>
      <c r="B17" s="34" t="n">
        <v>0.7</v>
      </c>
      <c r="C17" s="34" t="n">
        <v>0.45</v>
      </c>
      <c r="D17" s="3" t="s">
        <v>898</v>
      </c>
      <c r="E17" s="3" t="s">
        <v>901</v>
      </c>
      <c r="F17" s="3" t="s">
        <v>902</v>
      </c>
    </row>
    <row r="18" customFormat="false" ht="30" hidden="false" customHeight="true" outlineLevel="0" collapsed="false">
      <c r="A18" s="18" t="s">
        <v>903</v>
      </c>
      <c r="B18" s="34" t="n">
        <v>12.78</v>
      </c>
      <c r="C18" s="34" t="n">
        <v>11</v>
      </c>
      <c r="D18" s="3" t="s">
        <v>385</v>
      </c>
      <c r="E18" s="3" t="s">
        <v>383</v>
      </c>
      <c r="F18" s="3" t="s">
        <v>904</v>
      </c>
    </row>
    <row r="20" customFormat="false" ht="16.15" hidden="false" customHeight="false" outlineLevel="0" collapsed="false">
      <c r="A20" s="4" t="s">
        <v>905</v>
      </c>
      <c r="B20" s="4"/>
      <c r="C20" s="4"/>
      <c r="D20" s="4"/>
      <c r="E20" s="4"/>
      <c r="F20" s="4"/>
      <c r="G20" s="4"/>
    </row>
    <row r="21" customFormat="false" ht="30" hidden="false" customHeight="true" outlineLevel="0" collapsed="false">
      <c r="A21" s="1" t="s">
        <v>784</v>
      </c>
      <c r="B21" s="1" t="s">
        <v>812</v>
      </c>
      <c r="C21" s="1" t="s">
        <v>906</v>
      </c>
      <c r="D21" s="1" t="s">
        <v>907</v>
      </c>
      <c r="E21" s="1" t="s">
        <v>908</v>
      </c>
      <c r="F21" s="1" t="s">
        <v>100</v>
      </c>
      <c r="G21" s="1"/>
    </row>
    <row r="22" customFormat="false" ht="24" hidden="false" customHeight="true" outlineLevel="0" collapsed="false">
      <c r="A22" s="35" t="s">
        <v>564</v>
      </c>
      <c r="B22" s="9" t="n">
        <v>4.68</v>
      </c>
      <c r="C22" s="9" t="n">
        <v>16.64</v>
      </c>
      <c r="D22" s="9" t="n">
        <v>12.25</v>
      </c>
      <c r="E22" s="9" t="n">
        <v>11.55</v>
      </c>
      <c r="F22" s="3" t="s">
        <v>909</v>
      </c>
    </row>
    <row r="23" customFormat="false" ht="24" hidden="false" customHeight="true" outlineLevel="0" collapsed="false">
      <c r="A23" s="35" t="s">
        <v>910</v>
      </c>
      <c r="B23" s="9" t="n">
        <v>0.6</v>
      </c>
      <c r="C23" s="9" t="n">
        <v>0</v>
      </c>
      <c r="D23" s="9" t="n">
        <v>0.7</v>
      </c>
      <c r="E23" s="9" t="n">
        <v>0.7</v>
      </c>
      <c r="F23" s="3" t="s">
        <v>911</v>
      </c>
    </row>
    <row r="24" customFormat="false" ht="24" hidden="false" customHeight="true" outlineLevel="0" collapsed="false">
      <c r="A24" s="35" t="s">
        <v>554</v>
      </c>
      <c r="B24" s="9" t="n">
        <v>0.17</v>
      </c>
      <c r="C24" s="9" t="n">
        <v>0.6</v>
      </c>
      <c r="D24" s="9" t="n">
        <v>1.5</v>
      </c>
      <c r="E24" s="9" t="n">
        <v>1.8</v>
      </c>
      <c r="F24" s="3" t="s">
        <v>912</v>
      </c>
    </row>
    <row r="25" customFormat="false" ht="24" hidden="false" customHeight="true" outlineLevel="0" collapsed="false">
      <c r="A25" s="35" t="s">
        <v>913</v>
      </c>
      <c r="B25" s="9" t="n">
        <v>1.07</v>
      </c>
      <c r="C25" s="9" t="n">
        <v>0.9</v>
      </c>
      <c r="D25" s="9" t="n">
        <v>0.9</v>
      </c>
      <c r="E25" s="9" t="n">
        <v>1.07</v>
      </c>
      <c r="F25" s="3" t="s">
        <v>914</v>
      </c>
    </row>
    <row r="26" customFormat="false" ht="15" hidden="false" customHeight="false" outlineLevel="0" collapsed="false">
      <c r="A26" s="11" t="s">
        <v>915</v>
      </c>
      <c r="B26" s="13" t="n">
        <f aca="false">SUM(B22:B25)</f>
        <v>6.52</v>
      </c>
      <c r="C26" s="13" t="n">
        <f aca="false">SUM(C22:C25)</f>
        <v>18.14</v>
      </c>
      <c r="D26" s="13" t="n">
        <f aca="false">SUM(D22:D25)</f>
        <v>15.35</v>
      </c>
      <c r="E26" s="13" t="n">
        <f aca="false">SUM(E22:E25)</f>
        <v>15.12</v>
      </c>
      <c r="F26" s="12"/>
      <c r="G26" s="12"/>
    </row>
    <row r="27" customFormat="false" ht="15" hidden="false" customHeight="false" outlineLevel="0" collapsed="false">
      <c r="A27" s="0" t="s">
        <v>916</v>
      </c>
      <c r="B27" s="23" t="n">
        <v>0.5</v>
      </c>
      <c r="C27" s="23" t="n">
        <v>0.33</v>
      </c>
      <c r="D27" s="23" t="n">
        <v>0.33</v>
      </c>
      <c r="E27" s="23" t="n">
        <v>0.5</v>
      </c>
    </row>
    <row r="28" customFormat="false" ht="15" hidden="false" customHeight="false" outlineLevel="0" collapsed="false">
      <c r="A28" s="14" t="s">
        <v>917</v>
      </c>
      <c r="B28" s="36" t="n">
        <f aca="false">B26/B27</f>
        <v>13.04</v>
      </c>
      <c r="C28" s="36" t="n">
        <f aca="false">C26/C27</f>
        <v>54.969696969697</v>
      </c>
      <c r="D28" s="36" t="n">
        <f aca="false">D26/D27</f>
        <v>46.5151515151515</v>
      </c>
      <c r="E28" s="36" t="n">
        <f aca="false">E26/E27</f>
        <v>30.24</v>
      </c>
    </row>
    <row r="29" customFormat="false" ht="138.55" hidden="false" customHeight="false" outlineLevel="0" collapsed="false">
      <c r="A29" s="0" t="s">
        <v>918</v>
      </c>
      <c r="B29" s="36" t="n">
        <f aca="false">'8. Закупівля і посилання'!E46*B27</f>
        <v>3.6929475</v>
      </c>
      <c r="C29" s="36" t="n">
        <f aca="false">'8. Закупівля і посилання'!E46*C27</f>
        <v>2.43734535</v>
      </c>
      <c r="D29" s="36" t="n">
        <f aca="false">'8. Закупівля і посилання'!E46*D27</f>
        <v>2.43734535</v>
      </c>
      <c r="E29" s="36" t="n">
        <f aca="false">'8. Закупівля і посилання'!E46*E27</f>
        <v>3.6929475</v>
      </c>
      <c r="F29" s="35" t="s">
        <v>919</v>
      </c>
    </row>
    <row r="30" customFormat="false" ht="15" hidden="false" customHeight="false" outlineLevel="0" collapsed="false">
      <c r="A30" s="31" t="s">
        <v>920</v>
      </c>
      <c r="B30" s="32" t="n">
        <f aca="false">B26+B29</f>
        <v>10.2129475</v>
      </c>
      <c r="C30" s="32" t="n">
        <f aca="false">C26+C29</f>
        <v>20.57734535</v>
      </c>
      <c r="D30" s="32" t="n">
        <f aca="false">D26+D29</f>
        <v>17.78734535</v>
      </c>
      <c r="E30" s="32" t="n">
        <f aca="false">E26+E29</f>
        <v>18.8129475</v>
      </c>
      <c r="F30" s="12"/>
      <c r="G30" s="12"/>
    </row>
    <row r="31" customFormat="false" ht="15" hidden="false" customHeight="false" outlineLevel="0" collapsed="false">
      <c r="A31" s="14" t="s">
        <v>921</v>
      </c>
      <c r="B31" s="36" t="n">
        <f aca="false">B30/B27</f>
        <v>20.425895</v>
      </c>
      <c r="C31" s="36" t="n">
        <f aca="false">C30/C27</f>
        <v>62.355591969697</v>
      </c>
      <c r="D31" s="36" t="n">
        <f aca="false">D30/D27</f>
        <v>53.9010465151515</v>
      </c>
      <c r="E31" s="36" t="n">
        <f aca="false">E30/E27</f>
        <v>37.625895</v>
      </c>
    </row>
    <row r="32" customFormat="false" ht="15" hidden="false" customHeight="false" outlineLevel="0" collapsed="false">
      <c r="A32" s="0" t="s">
        <v>922</v>
      </c>
      <c r="B32" s="37" t="n">
        <f aca="false">20/B27</f>
        <v>40</v>
      </c>
      <c r="C32" s="37" t="n">
        <f aca="false">20/C27</f>
        <v>60.6060606060606</v>
      </c>
      <c r="D32" s="37" t="n">
        <f aca="false">20/D27</f>
        <v>60.6060606060606</v>
      </c>
      <c r="E32" s="37" t="n">
        <f aca="false">20/E27</f>
        <v>40</v>
      </c>
    </row>
    <row r="33" customFormat="false" ht="15" hidden="false" customHeight="false" outlineLevel="0" collapsed="false">
      <c r="A33" s="14" t="s">
        <v>923</v>
      </c>
      <c r="B33" s="36" t="n">
        <f aca="false">B32*B26</f>
        <v>260.8</v>
      </c>
      <c r="C33" s="36" t="n">
        <f aca="false">C32*C26</f>
        <v>1099.39393939394</v>
      </c>
      <c r="D33" s="36" t="n">
        <f aca="false">D32*D26</f>
        <v>930.30303030303</v>
      </c>
      <c r="E33" s="36" t="n">
        <f aca="false">E32*E26</f>
        <v>604.8</v>
      </c>
    </row>
    <row r="35" customFormat="false" ht="16.15" hidden="false" customHeight="false" outlineLevel="0" collapsed="false">
      <c r="A35" s="4" t="s">
        <v>924</v>
      </c>
      <c r="B35" s="4"/>
      <c r="C35" s="4"/>
      <c r="D35" s="4"/>
      <c r="E35" s="4"/>
      <c r="F35" s="4"/>
      <c r="G35" s="4"/>
    </row>
    <row r="36" customFormat="false" ht="30" hidden="false" customHeight="true" outlineLevel="0" collapsed="false">
      <c r="A36" s="1" t="s">
        <v>925</v>
      </c>
      <c r="B36" s="1" t="s">
        <v>926</v>
      </c>
      <c r="C36" s="1" t="s">
        <v>927</v>
      </c>
      <c r="D36" s="1" t="s">
        <v>928</v>
      </c>
      <c r="E36" s="1" t="s">
        <v>929</v>
      </c>
      <c r="F36" s="1" t="s">
        <v>930</v>
      </c>
      <c r="G36" s="1" t="s">
        <v>100</v>
      </c>
    </row>
    <row r="37" customFormat="false" ht="30" hidden="false" customHeight="true" outlineLevel="0" collapsed="false">
      <c r="A37" s="18" t="s">
        <v>812</v>
      </c>
      <c r="B37" s="10" t="n">
        <f aca="false">B30</f>
        <v>10.2129475</v>
      </c>
      <c r="C37" s="9" t="n">
        <v>22</v>
      </c>
      <c r="D37" s="10" t="n">
        <f aca="false">C37-B37</f>
        <v>11.7870525</v>
      </c>
      <c r="E37" s="21" t="n">
        <f aca="false">IF(B37=0,0,D37/B37)</f>
        <v>1.15412837479092</v>
      </c>
      <c r="F37" s="10" t="n">
        <f aca="false">C37*1.35</f>
        <v>29.7</v>
      </c>
      <c r="G37" s="3" t="s">
        <v>931</v>
      </c>
    </row>
    <row r="38" customFormat="false" ht="30" hidden="false" customHeight="true" outlineLevel="0" collapsed="false">
      <c r="A38" s="18" t="s">
        <v>906</v>
      </c>
      <c r="B38" s="10" t="n">
        <f aca="false">C30</f>
        <v>20.57734535</v>
      </c>
      <c r="C38" s="9" t="n">
        <v>45</v>
      </c>
      <c r="D38" s="10" t="n">
        <f aca="false">C38-B38</f>
        <v>24.42265465</v>
      </c>
      <c r="E38" s="21" t="n">
        <f aca="false">IF(B38=0,0,D38/B38)</f>
        <v>1.1868710095785</v>
      </c>
      <c r="F38" s="10" t="n">
        <f aca="false">C38*1.35</f>
        <v>60.75</v>
      </c>
      <c r="G38" s="3" t="s">
        <v>932</v>
      </c>
    </row>
    <row r="39" customFormat="false" ht="30" hidden="false" customHeight="true" outlineLevel="0" collapsed="false">
      <c r="A39" s="18" t="s">
        <v>907</v>
      </c>
      <c r="B39" s="10" t="n">
        <f aca="false">D30</f>
        <v>17.78734535</v>
      </c>
      <c r="C39" s="9" t="n">
        <v>55</v>
      </c>
      <c r="D39" s="10" t="n">
        <f aca="false">C39-B39</f>
        <v>37.21265465</v>
      </c>
      <c r="E39" s="21" t="n">
        <f aca="false">IF(B39=0,0,D39/B39)</f>
        <v>2.09208591376453</v>
      </c>
      <c r="F39" s="10" t="n">
        <f aca="false">C39*1.35</f>
        <v>74.25</v>
      </c>
      <c r="G39" s="3" t="s">
        <v>933</v>
      </c>
    </row>
    <row r="40" customFormat="false" ht="30" hidden="false" customHeight="true" outlineLevel="0" collapsed="false">
      <c r="A40" s="18" t="s">
        <v>908</v>
      </c>
      <c r="B40" s="10" t="n">
        <f aca="false">E30</f>
        <v>18.8129475</v>
      </c>
      <c r="C40" s="9" t="n">
        <v>75</v>
      </c>
      <c r="D40" s="10" t="n">
        <f aca="false">C40-B40</f>
        <v>56.1870525</v>
      </c>
      <c r="E40" s="21" t="n">
        <f aca="false">IF(B40=0,0,D40/B40)</f>
        <v>2.98661613232057</v>
      </c>
      <c r="F40" s="10" t="n">
        <f aca="false">C40*1.35</f>
        <v>101.25</v>
      </c>
      <c r="G40" s="3" t="s">
        <v>934</v>
      </c>
    </row>
    <row r="42" customFormat="false" ht="24.05" hidden="false" customHeight="true" outlineLevel="0" collapsed="false">
      <c r="A42" s="5" t="s">
        <v>935</v>
      </c>
      <c r="B42" s="5"/>
      <c r="C42" s="5"/>
      <c r="D42" s="5"/>
      <c r="E42" s="5"/>
      <c r="F42" s="5"/>
    </row>
    <row r="43" customFormat="false" ht="24.05" hidden="false" customHeight="true" outlineLevel="0" collapsed="false">
      <c r="A43" s="5" t="s">
        <v>936</v>
      </c>
      <c r="B43" s="5"/>
      <c r="C43" s="5"/>
      <c r="D43" s="5"/>
      <c r="E43" s="5"/>
      <c r="F43" s="5"/>
    </row>
    <row r="45" customFormat="false" ht="16.15" hidden="false" customHeight="false" outlineLevel="0" collapsed="false">
      <c r="A45" s="4" t="s">
        <v>937</v>
      </c>
      <c r="B45" s="4"/>
      <c r="C45" s="4"/>
      <c r="D45" s="4"/>
      <c r="E45" s="4"/>
      <c r="F45" s="4"/>
      <c r="G45" s="4"/>
    </row>
    <row r="46" customFormat="false" ht="30" hidden="false" customHeight="true" outlineLevel="0" collapsed="false">
      <c r="A46" s="1" t="s">
        <v>938</v>
      </c>
      <c r="B46" s="1" t="s">
        <v>939</v>
      </c>
      <c r="C46" s="1"/>
      <c r="D46" s="1"/>
      <c r="E46" s="1"/>
      <c r="F46" s="1"/>
      <c r="G46" s="1"/>
    </row>
    <row r="47" customFormat="false" ht="42" hidden="false" customHeight="true" outlineLevel="0" collapsed="false">
      <c r="A47" s="18" t="s">
        <v>940</v>
      </c>
      <c r="B47" s="3" t="s">
        <v>941</v>
      </c>
      <c r="C47" s="3"/>
      <c r="D47" s="3"/>
      <c r="E47" s="3"/>
      <c r="F47" s="3"/>
      <c r="G47" s="3"/>
    </row>
    <row r="48" customFormat="false" ht="42" hidden="false" customHeight="true" outlineLevel="0" collapsed="false">
      <c r="A48" s="18" t="s">
        <v>942</v>
      </c>
      <c r="B48" s="3" t="s">
        <v>943</v>
      </c>
      <c r="C48" s="3"/>
      <c r="D48" s="3"/>
      <c r="E48" s="3"/>
      <c r="F48" s="3"/>
      <c r="G48" s="3"/>
    </row>
    <row r="49" customFormat="false" ht="42" hidden="false" customHeight="true" outlineLevel="0" collapsed="false">
      <c r="A49" s="18" t="s">
        <v>944</v>
      </c>
      <c r="B49" s="3" t="s">
        <v>945</v>
      </c>
      <c r="C49" s="3"/>
      <c r="D49" s="3"/>
      <c r="E49" s="3"/>
      <c r="F49" s="3"/>
      <c r="G49" s="3"/>
    </row>
    <row r="50" customFormat="false" ht="42" hidden="false" customHeight="true" outlineLevel="0" collapsed="false">
      <c r="A50" s="18" t="s">
        <v>946</v>
      </c>
      <c r="B50" s="3" t="s">
        <v>947</v>
      </c>
      <c r="C50" s="3"/>
      <c r="D50" s="3"/>
      <c r="E50" s="3"/>
      <c r="F50" s="3"/>
      <c r="G50" s="3"/>
    </row>
    <row r="51" customFormat="false" ht="42" hidden="false" customHeight="true" outlineLevel="0" collapsed="false">
      <c r="A51" s="18" t="s">
        <v>948</v>
      </c>
      <c r="B51" s="3" t="s">
        <v>949</v>
      </c>
      <c r="C51" s="3"/>
      <c r="D51" s="3"/>
      <c r="E51" s="3"/>
      <c r="F51" s="3"/>
      <c r="G51" s="3"/>
    </row>
    <row r="52" customFormat="false" ht="42" hidden="false" customHeight="true" outlineLevel="0" collapsed="false">
      <c r="A52" s="18" t="s">
        <v>950</v>
      </c>
      <c r="B52" s="3" t="s">
        <v>951</v>
      </c>
      <c r="C52" s="3"/>
      <c r="D52" s="3"/>
      <c r="E52" s="3"/>
      <c r="F52" s="3"/>
      <c r="G52" s="3"/>
    </row>
    <row r="53" customFormat="false" ht="42" hidden="false" customHeight="true" outlineLevel="0" collapsed="false">
      <c r="A53" s="18" t="s">
        <v>554</v>
      </c>
      <c r="B53" s="3" t="s">
        <v>952</v>
      </c>
      <c r="C53" s="3"/>
      <c r="D53" s="3"/>
      <c r="E53" s="3"/>
      <c r="F53" s="3"/>
      <c r="G53" s="3"/>
    </row>
    <row r="54" customFormat="false" ht="16.15" hidden="false" customHeight="false" outlineLevel="0" collapsed="false">
      <c r="A54" s="4" t="s">
        <v>953</v>
      </c>
      <c r="B54" s="4"/>
      <c r="C54" s="4"/>
      <c r="D54" s="4"/>
      <c r="E54" s="4"/>
      <c r="F54" s="4"/>
      <c r="G54" s="4"/>
    </row>
    <row r="55" customFormat="false" ht="30" hidden="false" customHeight="true" outlineLevel="0" collapsed="false">
      <c r="A55" s="1" t="s">
        <v>154</v>
      </c>
      <c r="B55" s="1" t="s">
        <v>954</v>
      </c>
      <c r="C55" s="1" t="s">
        <v>156</v>
      </c>
      <c r="D55" s="1" t="s">
        <v>955</v>
      </c>
      <c r="E55" s="1" t="s">
        <v>396</v>
      </c>
      <c r="F55" s="1" t="s">
        <v>159</v>
      </c>
      <c r="G55" s="1" t="s">
        <v>33</v>
      </c>
    </row>
    <row r="56" customFormat="false" ht="61.5" hidden="false" customHeight="true" outlineLevel="0" collapsed="false">
      <c r="A56" s="18" t="s">
        <v>956</v>
      </c>
      <c r="B56" s="3" t="s">
        <v>957</v>
      </c>
      <c r="C56" s="3" t="s">
        <v>958</v>
      </c>
      <c r="D56" s="3" t="s">
        <v>959</v>
      </c>
      <c r="E56" s="3" t="s">
        <v>960</v>
      </c>
      <c r="F56" s="3" t="s">
        <v>961</v>
      </c>
      <c r="G56" s="3" t="s">
        <v>962</v>
      </c>
    </row>
    <row r="57" customFormat="false" ht="61.5" hidden="false" customHeight="true" outlineLevel="0" collapsed="false">
      <c r="A57" s="18" t="s">
        <v>963</v>
      </c>
      <c r="B57" s="3" t="s">
        <v>964</v>
      </c>
      <c r="C57" s="3" t="s">
        <v>965</v>
      </c>
      <c r="D57" s="3" t="s">
        <v>966</v>
      </c>
      <c r="E57" s="3" t="s">
        <v>967</v>
      </c>
      <c r="F57" s="3" t="s">
        <v>968</v>
      </c>
      <c r="G57" s="3" t="s">
        <v>969</v>
      </c>
    </row>
    <row r="58" customFormat="false" ht="61.5" hidden="false" customHeight="true" outlineLevel="0" collapsed="false">
      <c r="A58" s="18" t="s">
        <v>970</v>
      </c>
      <c r="B58" s="3" t="s">
        <v>971</v>
      </c>
      <c r="C58" s="3" t="s">
        <v>972</v>
      </c>
      <c r="D58" s="3" t="s">
        <v>973</v>
      </c>
      <c r="E58" s="3" t="s">
        <v>974</v>
      </c>
      <c r="F58" s="3" t="s">
        <v>266</v>
      </c>
      <c r="G58" s="3" t="s">
        <v>975</v>
      </c>
    </row>
    <row r="59" customFormat="false" ht="61.5" hidden="false" customHeight="true" outlineLevel="0" collapsed="false">
      <c r="A59" s="18" t="s">
        <v>976</v>
      </c>
      <c r="B59" s="3" t="s">
        <v>977</v>
      </c>
      <c r="C59" s="3" t="s">
        <v>978</v>
      </c>
      <c r="D59" s="3" t="s">
        <v>979</v>
      </c>
      <c r="E59" s="3" t="s">
        <v>189</v>
      </c>
      <c r="F59" s="3" t="s">
        <v>266</v>
      </c>
      <c r="G59" s="3" t="s">
        <v>980</v>
      </c>
    </row>
    <row r="60" customFormat="false" ht="61.5" hidden="false" customHeight="true" outlineLevel="0" collapsed="false">
      <c r="A60" s="18" t="s">
        <v>981</v>
      </c>
      <c r="B60" s="3" t="s">
        <v>982</v>
      </c>
      <c r="C60" s="3" t="s">
        <v>983</v>
      </c>
      <c r="D60" s="3" t="s">
        <v>984</v>
      </c>
      <c r="E60" s="3" t="s">
        <v>189</v>
      </c>
      <c r="F60" s="3" t="s">
        <v>266</v>
      </c>
      <c r="G60" s="3" t="s">
        <v>985</v>
      </c>
    </row>
    <row r="61" customFormat="false" ht="61.5" hidden="false" customHeight="true" outlineLevel="0" collapsed="false">
      <c r="A61" s="18" t="s">
        <v>986</v>
      </c>
      <c r="B61" s="3" t="s">
        <v>987</v>
      </c>
      <c r="C61" s="3" t="s">
        <v>988</v>
      </c>
      <c r="D61" s="3" t="s">
        <v>989</v>
      </c>
      <c r="E61" s="3" t="s">
        <v>189</v>
      </c>
      <c r="F61" s="3" t="s">
        <v>266</v>
      </c>
      <c r="G61" s="3" t="s">
        <v>990</v>
      </c>
    </row>
    <row r="62" customFormat="false" ht="61.5" hidden="false" customHeight="true" outlineLevel="0" collapsed="false">
      <c r="A62" s="18" t="s">
        <v>991</v>
      </c>
      <c r="B62" s="3" t="s">
        <v>992</v>
      </c>
      <c r="C62" s="3" t="s">
        <v>993</v>
      </c>
      <c r="D62" s="3" t="s">
        <v>994</v>
      </c>
      <c r="E62" s="3" t="s">
        <v>995</v>
      </c>
      <c r="F62" s="3" t="s">
        <v>887</v>
      </c>
      <c r="G62" s="3" t="s">
        <v>996</v>
      </c>
    </row>
    <row r="63" customFormat="false" ht="61.5" hidden="false" customHeight="true" outlineLevel="0" collapsed="false">
      <c r="A63" s="18" t="s">
        <v>997</v>
      </c>
      <c r="B63" s="3" t="s">
        <v>998</v>
      </c>
      <c r="C63" s="3" t="s">
        <v>993</v>
      </c>
      <c r="D63" s="3" t="s">
        <v>999</v>
      </c>
      <c r="E63" s="3" t="s">
        <v>1000</v>
      </c>
      <c r="F63" s="3" t="s">
        <v>719</v>
      </c>
      <c r="G63" s="3" t="s">
        <v>1001</v>
      </c>
    </row>
    <row r="64" customFormat="false" ht="61.5" hidden="false" customHeight="true" outlineLevel="0" collapsed="false">
      <c r="A64" s="18" t="s">
        <v>1002</v>
      </c>
      <c r="B64" s="3" t="s">
        <v>1003</v>
      </c>
      <c r="C64" s="3" t="s">
        <v>1004</v>
      </c>
      <c r="D64" s="3" t="s">
        <v>1005</v>
      </c>
      <c r="E64" s="3" t="s">
        <v>1006</v>
      </c>
      <c r="F64" s="3" t="s">
        <v>1007</v>
      </c>
      <c r="G64" s="3" t="s">
        <v>1008</v>
      </c>
    </row>
    <row r="65" customFormat="false" ht="61.5" hidden="false" customHeight="true" outlineLevel="0" collapsed="false">
      <c r="A65" s="18" t="s">
        <v>1009</v>
      </c>
      <c r="B65" s="3" t="s">
        <v>1010</v>
      </c>
      <c r="C65" s="3" t="s">
        <v>1011</v>
      </c>
      <c r="D65" s="3" t="s">
        <v>1012</v>
      </c>
      <c r="E65" s="3" t="s">
        <v>1013</v>
      </c>
      <c r="F65" s="3" t="s">
        <v>1014</v>
      </c>
      <c r="G65" s="3" t="s">
        <v>1015</v>
      </c>
    </row>
    <row r="67" customFormat="false" ht="35.5" hidden="false" customHeight="true" outlineLevel="0" collapsed="false">
      <c r="A67" s="5" t="s">
        <v>1016</v>
      </c>
      <c r="B67" s="5"/>
      <c r="C67" s="5"/>
      <c r="D67" s="5"/>
      <c r="E67" s="5"/>
      <c r="F67" s="5"/>
    </row>
    <row r="68" customFormat="false" ht="35.5" hidden="false" customHeight="true" outlineLevel="0" collapsed="false">
      <c r="A68" s="5" t="s">
        <v>1017</v>
      </c>
      <c r="B68" s="5"/>
      <c r="C68" s="5"/>
      <c r="D68" s="5"/>
      <c r="E68" s="5"/>
      <c r="F68" s="5"/>
    </row>
    <row r="70" customFormat="false" ht="16.15" hidden="false" customHeight="false" outlineLevel="0" collapsed="false">
      <c r="A70" s="4" t="s">
        <v>1018</v>
      </c>
      <c r="B70" s="4"/>
      <c r="C70" s="4"/>
      <c r="D70" s="4"/>
      <c r="E70" s="4"/>
      <c r="F70" s="4"/>
      <c r="G70" s="4"/>
    </row>
    <row r="71" customFormat="false" ht="15" hidden="false" customHeight="true" outlineLevel="0" collapsed="false">
      <c r="A71" s="5" t="s">
        <v>1019</v>
      </c>
      <c r="B71" s="5"/>
      <c r="C71" s="5"/>
      <c r="D71" s="5"/>
      <c r="E71" s="5"/>
      <c r="F71" s="5"/>
    </row>
    <row r="73" customFormat="false" ht="30" hidden="false" customHeight="true" outlineLevel="0" collapsed="false">
      <c r="A73" s="1" t="s">
        <v>491</v>
      </c>
      <c r="B73" s="1" t="s">
        <v>1020</v>
      </c>
      <c r="C73" s="1" t="s">
        <v>1021</v>
      </c>
      <c r="D73" s="1" t="s">
        <v>100</v>
      </c>
      <c r="E73" s="1"/>
      <c r="F73" s="1"/>
      <c r="G73" s="1"/>
    </row>
    <row r="74" customFormat="false" ht="24" hidden="false" customHeight="true" outlineLevel="0" collapsed="false">
      <c r="A74" s="3" t="s">
        <v>1022</v>
      </c>
      <c r="B74" s="9" t="n">
        <v>1000</v>
      </c>
      <c r="C74" s="9" t="n">
        <v>1000</v>
      </c>
      <c r="D74" s="3" t="s">
        <v>1023</v>
      </c>
    </row>
    <row r="75" customFormat="false" ht="24" hidden="false" customHeight="true" outlineLevel="0" collapsed="false">
      <c r="A75" s="3" t="s">
        <v>1024</v>
      </c>
      <c r="B75" s="10" t="n">
        <f aca="false">B74*0.33</f>
        <v>330</v>
      </c>
      <c r="C75" s="10" t="n">
        <f aca="false">C74*0.33</f>
        <v>330</v>
      </c>
      <c r="D75" s="3" t="s">
        <v>1025</v>
      </c>
    </row>
    <row r="76" customFormat="false" ht="24" hidden="false" customHeight="true" outlineLevel="0" collapsed="false">
      <c r="A76" s="3" t="s">
        <v>1026</v>
      </c>
      <c r="B76" s="10" t="n">
        <f aca="false">B75*7.39</f>
        <v>2438.7</v>
      </c>
      <c r="C76" s="10" t="n">
        <f aca="false">C75*7.39</f>
        <v>2438.7</v>
      </c>
      <c r="D76" s="3" t="s">
        <v>1027</v>
      </c>
    </row>
    <row r="77" customFormat="false" ht="24" hidden="false" customHeight="true" outlineLevel="0" collapsed="false">
      <c r="A77" s="3" t="s">
        <v>1028</v>
      </c>
      <c r="B77" s="9" t="n">
        <v>15.35</v>
      </c>
      <c r="C77" s="9" t="n">
        <v>9.1</v>
      </c>
      <c r="D77" s="3" t="s">
        <v>1029</v>
      </c>
    </row>
    <row r="78" customFormat="false" ht="24" hidden="false" customHeight="true" outlineLevel="0" collapsed="false">
      <c r="A78" s="3" t="s">
        <v>1030</v>
      </c>
      <c r="B78" s="10" t="n">
        <f aca="false">B74*B77</f>
        <v>15350</v>
      </c>
      <c r="C78" s="10" t="n">
        <f aca="false">C74*C77</f>
        <v>9100</v>
      </c>
      <c r="D78" s="3"/>
    </row>
    <row r="79" customFormat="false" ht="24" hidden="false" customHeight="true" outlineLevel="0" collapsed="false">
      <c r="A79" s="38" t="s">
        <v>1031</v>
      </c>
      <c r="B79" s="13" t="n">
        <f aca="false">B76+B78</f>
        <v>17788.7</v>
      </c>
      <c r="C79" s="13" t="n">
        <f aca="false">C76+C78</f>
        <v>11538.7</v>
      </c>
      <c r="D79" s="3"/>
    </row>
    <row r="80" customFormat="false" ht="24" hidden="false" customHeight="true" outlineLevel="0" collapsed="false">
      <c r="A80" s="3" t="s">
        <v>1032</v>
      </c>
      <c r="B80" s="9" t="n">
        <v>55</v>
      </c>
      <c r="C80" s="9" t="n">
        <v>55</v>
      </c>
      <c r="D80" s="3" t="s">
        <v>1033</v>
      </c>
    </row>
    <row r="81" customFormat="false" ht="24" hidden="false" customHeight="true" outlineLevel="0" collapsed="false">
      <c r="A81" s="3" t="s">
        <v>1034</v>
      </c>
      <c r="B81" s="10" t="n">
        <f aca="false">B74*B80</f>
        <v>55000</v>
      </c>
      <c r="C81" s="10" t="n">
        <f aca="false">C74*C80</f>
        <v>55000</v>
      </c>
      <c r="D81" s="3"/>
    </row>
    <row r="82" customFormat="false" ht="24" hidden="false" customHeight="true" outlineLevel="0" collapsed="false">
      <c r="A82" s="38" t="s">
        <v>1035</v>
      </c>
      <c r="B82" s="13" t="n">
        <f aca="false">B81-B79</f>
        <v>37211.3</v>
      </c>
      <c r="C82" s="13" t="n">
        <f aca="false">C81-C79</f>
        <v>43461.3</v>
      </c>
      <c r="D82" s="3"/>
    </row>
    <row r="83" customFormat="false" ht="24" hidden="false" customHeight="true" outlineLevel="0" collapsed="false">
      <c r="A83" s="3" t="s">
        <v>1036</v>
      </c>
      <c r="B83" s="9" t="n">
        <v>5000</v>
      </c>
      <c r="C83" s="9" t="n">
        <v>5000</v>
      </c>
      <c r="D83" s="3" t="s">
        <v>1037</v>
      </c>
    </row>
    <row r="84" customFormat="false" ht="24" hidden="false" customHeight="true" outlineLevel="0" collapsed="false">
      <c r="A84" s="3" t="s">
        <v>1038</v>
      </c>
      <c r="B84" s="9" t="n">
        <v>3000</v>
      </c>
      <c r="C84" s="9" t="n">
        <v>3000</v>
      </c>
      <c r="D84" s="3" t="s">
        <v>1039</v>
      </c>
    </row>
    <row r="85" customFormat="false" ht="24" hidden="false" customHeight="true" outlineLevel="0" collapsed="false">
      <c r="A85" s="3" t="s">
        <v>1040</v>
      </c>
      <c r="B85" s="9" t="n">
        <v>2000</v>
      </c>
      <c r="C85" s="9" t="n">
        <v>2000</v>
      </c>
      <c r="D85" s="3"/>
    </row>
    <row r="86" customFormat="false" ht="24" hidden="false" customHeight="true" outlineLevel="0" collapsed="false">
      <c r="A86" s="38" t="s">
        <v>1041</v>
      </c>
      <c r="B86" s="13" t="n">
        <f aca="false">SUM(B83:B85)</f>
        <v>10000</v>
      </c>
      <c r="C86" s="13" t="n">
        <f aca="false">SUM(C83:C85)</f>
        <v>10000</v>
      </c>
      <c r="D86" s="3"/>
    </row>
    <row r="87" customFormat="false" ht="24" hidden="false" customHeight="true" outlineLevel="0" collapsed="false">
      <c r="A87" s="38" t="s">
        <v>1042</v>
      </c>
      <c r="B87" s="13" t="n">
        <f aca="false">B82-B86</f>
        <v>27211.3</v>
      </c>
      <c r="C87" s="13" t="n">
        <f aca="false">C82-C86</f>
        <v>33461.3</v>
      </c>
      <c r="D87" s="3"/>
    </row>
    <row r="89" customFormat="false" ht="24.05" hidden="false" customHeight="true" outlineLevel="0" collapsed="false">
      <c r="A89" s="5" t="s">
        <v>1043</v>
      </c>
      <c r="B89" s="5"/>
      <c r="C89" s="5"/>
      <c r="D89" s="5"/>
      <c r="E89" s="5"/>
      <c r="F89" s="5"/>
    </row>
  </sheetData>
  <mergeCells count="21">
    <mergeCell ref="A1:G1"/>
    <mergeCell ref="A2:F2"/>
    <mergeCell ref="A4:G4"/>
    <mergeCell ref="A20:G20"/>
    <mergeCell ref="A35:G35"/>
    <mergeCell ref="A42:F42"/>
    <mergeCell ref="A43:F43"/>
    <mergeCell ref="A45:G45"/>
    <mergeCell ref="B47:G47"/>
    <mergeCell ref="B48:G48"/>
    <mergeCell ref="B49:G49"/>
    <mergeCell ref="B50:G50"/>
    <mergeCell ref="B51:G51"/>
    <mergeCell ref="B52:G52"/>
    <mergeCell ref="B53:G53"/>
    <mergeCell ref="A54:G54"/>
    <mergeCell ref="A67:F67"/>
    <mergeCell ref="A68:F68"/>
    <mergeCell ref="A70:G70"/>
    <mergeCell ref="A71:F71"/>
    <mergeCell ref="A89:F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2026-10-01T19:11:44Z</dcterms:created>
  <dc:creator>openpyxl</dc:creator>
  <dc:description/>
  <dc:language>en-US</dc:language>
  <cp:lastModifiedBy/>
  <dcterms:modified xsi:type="dcterms:W3CDTF">2026-10-01T19:11:45Z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